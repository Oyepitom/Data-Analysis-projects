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codeName="{DD97A8EA-9A9A-E61F-A557-7D5A7D7259CE}"/>
  <workbookPr codeName="ThisWorkbook"/>
  <mc:AlternateContent xmlns:mc="http://schemas.openxmlformats.org/markup-compatibility/2006">
    <mc:Choice Requires="x15">
      <x15ac:absPath xmlns:x15ac="http://schemas.microsoft.com/office/spreadsheetml/2010/11/ac" url="C:\Users\THE ROCK MONTESSORI\Documents\"/>
    </mc:Choice>
  </mc:AlternateContent>
  <xr:revisionPtr revIDLastSave="0" documentId="13_ncr:1_{C6380ECB-571D-425B-AA3E-F6B6A6D3E70D}" xr6:coauthVersionLast="47" xr6:coauthVersionMax="47" xr10:uidLastSave="{00000000-0000-0000-0000-000000000000}"/>
  <bookViews>
    <workbookView xWindow="-120" yWindow="-120" windowWidth="24240" windowHeight="13020" activeTab="2" xr2:uid="{00000000-000D-0000-FFFF-FFFF00000000}"/>
  </bookViews>
  <sheets>
    <sheet name="Cover" sheetId="3" r:id="rId1"/>
    <sheet name="Pivot Table" sheetId="6" state="hidden" r:id="rId2"/>
    <sheet name="Dashboard" sheetId="7" r:id="rId3"/>
    <sheet name="Raw Data" sheetId="1" r:id="rId4"/>
  </sheets>
  <definedNames>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alcChain>
</file>

<file path=xl/sharedStrings.xml><?xml version="1.0" encoding="utf-8"?>
<sst xmlns="http://schemas.openxmlformats.org/spreadsheetml/2006/main" count="680" uniqueCount="97">
  <si>
    <t>Date</t>
  </si>
  <si>
    <t>Region</t>
  </si>
  <si>
    <t>Product</t>
  </si>
  <si>
    <t>Category</t>
  </si>
  <si>
    <t>Units Sold</t>
  </si>
  <si>
    <t>Unit Price</t>
  </si>
  <si>
    <t>Sales Rep</t>
  </si>
  <si>
    <t>Customer</t>
  </si>
  <si>
    <t>South</t>
  </si>
  <si>
    <t>Musa Enterprises</t>
  </si>
  <si>
    <t>Mobile</t>
  </si>
  <si>
    <t>West</t>
  </si>
  <si>
    <t>Alpha Retailers</t>
  </si>
  <si>
    <t>North</t>
  </si>
  <si>
    <t>Aisha Bello</t>
  </si>
  <si>
    <t>Omega Wholesale</t>
  </si>
  <si>
    <t>East</t>
  </si>
  <si>
    <t>Tablet T8</t>
  </si>
  <si>
    <t>Photography</t>
  </si>
  <si>
    <t>Chinedu Nwosu</t>
  </si>
  <si>
    <t>Laptop A15</t>
  </si>
  <si>
    <t>Computers</t>
  </si>
  <si>
    <t>Maryam Ltd</t>
  </si>
  <si>
    <t>Electronics</t>
  </si>
  <si>
    <t>Peter Obi</t>
  </si>
  <si>
    <t>Audio</t>
  </si>
  <si>
    <t>Femi Tech</t>
  </si>
  <si>
    <t>Fola Balogun</t>
  </si>
  <si>
    <t>Chika Mart</t>
  </si>
  <si>
    <t>Mary John</t>
  </si>
  <si>
    <t>Capstone project</t>
  </si>
  <si>
    <t>Praise Odunayo</t>
  </si>
  <si>
    <t>Aba Joel</t>
  </si>
  <si>
    <t>Job Austin</t>
  </si>
  <si>
    <t>Tope &amp; Sons</t>
  </si>
  <si>
    <t>Tv 43Q</t>
  </si>
  <si>
    <t>Phone X12</t>
  </si>
  <si>
    <t>Monitor M24</t>
  </si>
  <si>
    <t>Camera C100</t>
  </si>
  <si>
    <t>Speaker S10</t>
  </si>
  <si>
    <t>Peripherals</t>
  </si>
  <si>
    <t>Bright Solutions</t>
  </si>
  <si>
    <t>Zainab Global</t>
  </si>
  <si>
    <t>Kelvin Tech</t>
  </si>
  <si>
    <t>Emeka Traders</t>
  </si>
  <si>
    <t>Tola Ventures</t>
  </si>
  <si>
    <t>Jide Superstores</t>
  </si>
  <si>
    <t>Adewale Stores</t>
  </si>
  <si>
    <t>Ifeanyi Okafor</t>
  </si>
  <si>
    <t>Grace Amos</t>
  </si>
  <si>
    <t>Total Sales</t>
  </si>
  <si>
    <t>Grand Total</t>
  </si>
  <si>
    <t>Sum of Total Sales</t>
  </si>
  <si>
    <t>Month</t>
  </si>
  <si>
    <t/>
  </si>
  <si>
    <t>Quarter(Q)</t>
  </si>
  <si>
    <t>Q2</t>
  </si>
  <si>
    <t>Q1</t>
  </si>
  <si>
    <t>Salesperson</t>
  </si>
  <si>
    <t>Region/Quarter</t>
  </si>
  <si>
    <t>Feb</t>
  </si>
  <si>
    <t>May</t>
  </si>
  <si>
    <t>Jun</t>
  </si>
  <si>
    <t>Quarter</t>
  </si>
  <si>
    <t>Sales Rep by Sales</t>
  </si>
  <si>
    <t>February</t>
  </si>
  <si>
    <t>June</t>
  </si>
  <si>
    <t>Sales by Category</t>
  </si>
  <si>
    <t>Month(s)/Quarter</t>
  </si>
  <si>
    <t>Sales by Customer(s)</t>
  </si>
  <si>
    <t>Sales by Region and Quarter</t>
  </si>
  <si>
    <t>Sales by Region</t>
  </si>
  <si>
    <t>Sales by Salesperson(s)</t>
  </si>
  <si>
    <t>Sales by Quarter</t>
  </si>
  <si>
    <t>Product/Category</t>
  </si>
  <si>
    <t>Sales by Product and Category</t>
  </si>
  <si>
    <t>Sales Trend by Month(s)</t>
  </si>
  <si>
    <t>Q3</t>
  </si>
  <si>
    <t>January</t>
  </si>
  <si>
    <t>March</t>
  </si>
  <si>
    <t>April</t>
  </si>
  <si>
    <t>July</t>
  </si>
  <si>
    <t>August</t>
  </si>
  <si>
    <t>Jan</t>
  </si>
  <si>
    <t>Mar</t>
  </si>
  <si>
    <t>Apr</t>
  </si>
  <si>
    <t>Jul</t>
  </si>
  <si>
    <t>Aug</t>
  </si>
  <si>
    <t>Q4</t>
  </si>
  <si>
    <t>September</t>
  </si>
  <si>
    <t>October</t>
  </si>
  <si>
    <t>December</t>
  </si>
  <si>
    <t>November</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</si>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</sst>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NGN]\ * #,##0.00_);_([$NGN]\ * \(#,##0.00\);_([$NGN]\ * &quot;-&quot;??_);_(@_)"/>
    <numFmt numFmtId="165" formatCode="m/d/yy;@"/>
  </numFmts>
  <fonts count="7" x14ac:knownFonts="1">
    <font>
      <sz val="11"/>
      <color theme="1"/>
      <name val="Calibri"/>
      <family val="2"/>
      <scheme val="minor"/>
    </font>
    <font>
      <b/>
      <sz val="11"/>
      <color theme="0"/>
      <name val="Calibri"/>
      <family val="2"/>
    </font>
    <font>
      <b/>
      <sz val="26"/>
      <color rgb="FF002060"/>
      <name val="Calibri"/>
      <family val="2"/>
      <scheme val="minor"/>
    </font>
    <font>
      <b/>
      <sz val="11"/>
      <color rgb="FF002060"/>
      <name val="Calibri"/>
      <family val="2"/>
      <scheme val="minor"/>
    </font>
    <font>
      <sz val="11"/>
      <color theme="1"/>
      <name val="Calibri"/>
      <family val="2"/>
      <scheme val="minor"/>
    </font>
    <font>
      <sz val="8"/>
      <name val="Calibri"/>
      <family val="2"/>
      <scheme val="minor"/>
    </font>
    <font>
      <b/>
      <sz val="11"/>
      <color theme="1"/>
      <name val="Georgia"/>
      <family val="1"/>
    </font>
  </fonts>
  <fills count="4">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s>
  <borders count="9">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43" fontId="4" fillId="0" borderId="0" applyFont="0" applyFill="0" applyBorder="0" applyAlignment="0" applyProtection="0"/>
  </cellStyleXfs>
  <cellXfs count="25">
    <xf numFmtId="0" fontId="0" fillId="0" borderId="0" xfId="0"/>
    <xf numFmtId="0" fontId="0" fillId="0" borderId="1" xfId="0" applyBorder="1"/>
    <xf numFmtId="0" fontId="0" fillId="3" borderId="0" xfId="0" applyFill="1"/>
    <xf numFmtId="0" fontId="2" fillId="3" borderId="2" xfId="0" applyFont="1" applyFill="1" applyBorder="1"/>
    <xf numFmtId="0" fontId="3" fillId="3" borderId="2" xfId="0" applyFont="1" applyFill="1" applyBorder="1"/>
    <xf numFmtId="164" fontId="0" fillId="0" borderId="1" xfId="0" applyNumberFormat="1" applyBorder="1"/>
    <xf numFmtId="0" fontId="0" fillId="0" borderId="4" xfId="0" applyBorder="1"/>
    <xf numFmtId="0" fontId="1" fillId="2" borderId="5" xfId="0" applyFont="1" applyFill="1" applyBorder="1" applyAlignment="1">
      <alignment horizontal="center" vertical="top"/>
    </xf>
    <xf numFmtId="2" fontId="1" fillId="2" borderId="5" xfId="0" applyNumberFormat="1" applyFont="1" applyFill="1" applyBorder="1" applyAlignment="1">
      <alignment horizontal="center" vertical="top"/>
    </xf>
    <xf numFmtId="43" fontId="1" fillId="2" borderId="5" xfId="1" applyFont="1" applyFill="1" applyBorder="1" applyAlignment="1">
      <alignment horizontal="center" vertical="top"/>
    </xf>
    <xf numFmtId="0" fontId="1" fillId="2" borderId="6" xfId="0" applyFont="1" applyFill="1" applyBorder="1" applyAlignment="1">
      <alignment horizontal="center" vertical="top"/>
    </xf>
    <xf numFmtId="0" fontId="0" fillId="0" borderId="7" xfId="0" applyBorder="1"/>
    <xf numFmtId="164" fontId="0" fillId="0" borderId="7" xfId="0" applyNumberFormat="1" applyBorder="1"/>
    <xf numFmtId="0" fontId="0" fillId="0" borderId="8" xfId="0" applyBorder="1"/>
    <xf numFmtId="14" fontId="0" fillId="0" borderId="3" xfId="0" applyNumberFormat="1" applyBorder="1"/>
    <xf numFmtId="164" fontId="0" fillId="0" borderId="5" xfId="0" applyNumberFormat="1" applyBorder="1"/>
    <xf numFmtId="165" fontId="0" fillId="0" borderId="3" xfId="0" applyNumberFormat="1" applyBorder="1"/>
    <xf numFmtId="0" fontId="0" fillId="2" borderId="3" xfId="0" applyFill="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0" borderId="0" xfId="0" applyAlignment="1">
      <alignment horizontal="left" indent="2"/>
    </xf>
    <xf numFmtId="0" fontId="6" fillId="0" borderId="0" xfId="0" applyFont="1"/>
    <xf numFmtId="0" fontId="0" fillId="0" borderId="0" xfId="0" applyAlignment="1"/>
  </cellXfs>
  <cellStyles count="2">
    <cellStyle name="Comma" xfId="1" builtinId="3"/>
    <cellStyle name="Normal" xfId="0" builtinId="0"/>
  </cellStyles>
  <dxfs count="14">
    <dxf>
      <numFmt numFmtId="0" formatCode="General"/>
    </dxf>
    <dxf>
      <numFmt numFmtId="0" formatCode="General"/>
    </dxf>
    <dxf>
      <numFmt numFmtId="164" formatCode="_([$NGN]\ * #,##0.00_);_([$NGN]\ * \(#,##0.00\);_([$NGN]\ * &quot;-&quot;??_);_(@_)"/>
      <border diagonalUp="0" diagonalDown="0">
        <left style="thin">
          <color auto="1"/>
        </left>
        <right style="thin">
          <color auto="1"/>
        </right>
        <top style="thin">
          <color auto="1"/>
        </top>
        <bottom style="thin">
          <color auto="1"/>
        </bottom>
        <vertical/>
        <horizontal/>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4" formatCode="_([$NGN]\ * #,##0.00_);_([$NGN]\ * \(#,##0.00\);_([$NGN]\ * &quot;-&quot;??_);_(@_)"/>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9" formatCode="m/d/yyyy"/>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family val="2"/>
        <scheme val="none"/>
      </font>
      <fill>
        <patternFill patternType="solid">
          <fgColor indexed="64"/>
          <bgColor rgb="FF002060"/>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6/relationships/vbaProject" Target="vbaProject.bin"/><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Ainow.xlsm]Pivot Table!Sales by Salesperson(s)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rgbClr val="002060"/>
                </a:solidFill>
              </a:rPr>
              <a:t>Sales by Salesperson(s)</a:t>
            </a:r>
          </a:p>
          <a:p>
            <a:pPr>
              <a:defRPr/>
            </a:pPr>
            <a:endParaRPr lang="en-US" b="1" baseline="0">
              <a:solidFill>
                <a:srgbClr val="002060"/>
              </a:solidFill>
            </a:endParaRP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37314085739283"/>
          <c:y val="0.25083333333333335"/>
          <c:w val="0.70507130358705161"/>
          <c:h val="0.49144539224263634"/>
        </c:manualLayout>
      </c:layout>
      <c:barChart>
        <c:barDir val="col"/>
        <c:grouping val="clustered"/>
        <c:varyColors val="0"/>
        <c:ser>
          <c:idx val="0"/>
          <c:order val="0"/>
          <c:tx>
            <c:strRef>
              <c:f>'Pivot Table'!$B$6</c:f>
              <c:strCache>
                <c:ptCount val="1"/>
                <c:pt idx="0">
                  <c:v>Total</c:v>
                </c:pt>
              </c:strCache>
            </c:strRef>
          </c:tx>
          <c:spPr>
            <a:solidFill>
              <a:srgbClr val="002060"/>
            </a:solidFill>
            <a:ln>
              <a:noFill/>
            </a:ln>
            <a:effectLst/>
          </c:spPr>
          <c:invertIfNegative val="0"/>
          <c:cat>
            <c:strRef>
              <c:f>'Pivot Table'!$A$7:$A$17</c:f>
              <c:strCache>
                <c:ptCount val="10"/>
                <c:pt idx="0">
                  <c:v>Aba Joel</c:v>
                </c:pt>
                <c:pt idx="1">
                  <c:v>Praise Odunayo</c:v>
                </c:pt>
                <c:pt idx="2">
                  <c:v>Job Austin</c:v>
                </c:pt>
                <c:pt idx="3">
                  <c:v>Aisha Bello</c:v>
                </c:pt>
                <c:pt idx="4">
                  <c:v>Mary John</c:v>
                </c:pt>
                <c:pt idx="5">
                  <c:v>Ifeanyi Okafor</c:v>
                </c:pt>
                <c:pt idx="6">
                  <c:v>Chinedu Nwosu</c:v>
                </c:pt>
                <c:pt idx="7">
                  <c:v>Grace Amos</c:v>
                </c:pt>
                <c:pt idx="8">
                  <c:v>Fola Balogun</c:v>
                </c:pt>
                <c:pt idx="9">
                  <c:v>Peter Obi</c:v>
                </c:pt>
              </c:strCache>
            </c:strRef>
          </c:cat>
          <c:val>
            <c:numRef>
              <c:f>'Pivot Table'!$B$7:$B$17</c:f>
              <c:numCache>
                <c:formatCode>_([$NGN]\ * #,##0.00_);_([$NGN]\ * \(#,##0.00\);_([$NGN]\ * "-"??_);_(@_)</c:formatCode>
                <c:ptCount val="10"/>
                <c:pt idx="0">
                  <c:v>650000</c:v>
                </c:pt>
                <c:pt idx="1">
                  <c:v>2850000</c:v>
                </c:pt>
                <c:pt idx="2">
                  <c:v>5250000</c:v>
                </c:pt>
                <c:pt idx="3">
                  <c:v>18690000</c:v>
                </c:pt>
                <c:pt idx="4">
                  <c:v>20919960</c:v>
                </c:pt>
                <c:pt idx="5">
                  <c:v>28986113</c:v>
                </c:pt>
                <c:pt idx="6">
                  <c:v>36226885</c:v>
                </c:pt>
                <c:pt idx="7">
                  <c:v>42610000</c:v>
                </c:pt>
                <c:pt idx="8">
                  <c:v>58707487</c:v>
                </c:pt>
                <c:pt idx="9">
                  <c:v>87790000</c:v>
                </c:pt>
              </c:numCache>
            </c:numRef>
          </c:val>
          <c:extLst>
            <c:ext xmlns:c16="http://schemas.microsoft.com/office/drawing/2014/chart" uri="{C3380CC4-5D6E-409C-BE32-E72D297353CC}">
              <c16:uniqueId val="{00000000-5C6B-423E-96B5-38AD2C497B93}"/>
            </c:ext>
          </c:extLst>
        </c:ser>
        <c:dLbls>
          <c:showLegendKey val="0"/>
          <c:showVal val="0"/>
          <c:showCatName val="0"/>
          <c:showSerName val="0"/>
          <c:showPercent val="0"/>
          <c:showBubbleSize val="0"/>
        </c:dLbls>
        <c:gapWidth val="219"/>
        <c:overlap val="-27"/>
        <c:axId val="1214416559"/>
        <c:axId val="1214413199"/>
      </c:barChart>
      <c:catAx>
        <c:axId val="121441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413199"/>
        <c:crosses val="autoZero"/>
        <c:auto val="1"/>
        <c:lblAlgn val="ctr"/>
        <c:lblOffset val="100"/>
        <c:noMultiLvlLbl val="0"/>
      </c:catAx>
      <c:valAx>
        <c:axId val="1214413199"/>
        <c:scaling>
          <c:orientation val="minMax"/>
        </c:scaling>
        <c:delete val="0"/>
        <c:axPos val="l"/>
        <c:numFmt formatCode="_([$NGN]\ * #,##0.00_);_([$NGN]\ * \(#,##0.00\);_([$NGN]\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41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Ainow.xlsm]Pivot Table!Sales by Region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rgbClr val="002060"/>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Table'!$E$6</c:f>
              <c:strCache>
                <c:ptCount val="1"/>
                <c:pt idx="0">
                  <c:v>Total</c:v>
                </c:pt>
              </c:strCache>
            </c:strRef>
          </c:tx>
          <c:spPr>
            <a:solidFill>
              <a:srgbClr val="002060"/>
            </a:solidFill>
            <a:ln>
              <a:noFill/>
            </a:ln>
            <a:effectLst/>
          </c:spPr>
          <c:invertIfNegative val="0"/>
          <c:cat>
            <c:strRef>
              <c:f>'Pivot Table'!$D$7:$D$11</c:f>
              <c:strCache>
                <c:ptCount val="4"/>
                <c:pt idx="0">
                  <c:v>East</c:v>
                </c:pt>
                <c:pt idx="1">
                  <c:v>North</c:v>
                </c:pt>
                <c:pt idx="2">
                  <c:v>South</c:v>
                </c:pt>
                <c:pt idx="3">
                  <c:v>West</c:v>
                </c:pt>
              </c:strCache>
            </c:strRef>
          </c:cat>
          <c:val>
            <c:numRef>
              <c:f>'Pivot Table'!$E$7:$E$11</c:f>
              <c:numCache>
                <c:formatCode>_([$NGN]\ * #,##0.00_);_([$NGN]\ * \(#,##0.00\);_([$NGN]\ * "-"??_);_(@_)</c:formatCode>
                <c:ptCount val="4"/>
                <c:pt idx="0">
                  <c:v>79518498</c:v>
                </c:pt>
                <c:pt idx="1">
                  <c:v>39490000</c:v>
                </c:pt>
                <c:pt idx="2">
                  <c:v>68129460</c:v>
                </c:pt>
                <c:pt idx="3">
                  <c:v>115542487</c:v>
                </c:pt>
              </c:numCache>
            </c:numRef>
          </c:val>
          <c:extLst>
            <c:ext xmlns:c16="http://schemas.microsoft.com/office/drawing/2014/chart" uri="{C3380CC4-5D6E-409C-BE32-E72D297353CC}">
              <c16:uniqueId val="{00000000-276F-4864-9795-C0CA5091BD74}"/>
            </c:ext>
          </c:extLst>
        </c:ser>
        <c:dLbls>
          <c:showLegendKey val="0"/>
          <c:showVal val="0"/>
          <c:showCatName val="0"/>
          <c:showSerName val="0"/>
          <c:showPercent val="0"/>
          <c:showBubbleSize val="0"/>
        </c:dLbls>
        <c:gapWidth val="219"/>
        <c:overlap val="-27"/>
        <c:axId val="1174487679"/>
        <c:axId val="1174484799"/>
      </c:barChart>
      <c:catAx>
        <c:axId val="117448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484799"/>
        <c:crosses val="autoZero"/>
        <c:auto val="1"/>
        <c:lblAlgn val="ctr"/>
        <c:lblOffset val="100"/>
        <c:noMultiLvlLbl val="0"/>
      </c:catAx>
      <c:valAx>
        <c:axId val="1174484799"/>
        <c:scaling>
          <c:orientation val="minMax"/>
        </c:scaling>
        <c:delete val="0"/>
        <c:axPos val="l"/>
        <c:numFmt formatCode="_([$NGN]\ * #,##0.00_);_([$NGN]\ * \(#,##0.00\);_([$NGN]\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48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Ainow.xlsm]Pivot Table!Sales by Region and Quarter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rgbClr val="002060"/>
                </a:solidFill>
              </a:rPr>
              <a:t>Sales by Region and Quarter</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70647419072617"/>
          <c:y val="0.17171296296296296"/>
          <c:w val="0.71773797025371833"/>
          <c:h val="0.45791739574219892"/>
        </c:manualLayout>
      </c:layout>
      <c:barChart>
        <c:barDir val="col"/>
        <c:grouping val="clustered"/>
        <c:varyColors val="0"/>
        <c:ser>
          <c:idx val="0"/>
          <c:order val="0"/>
          <c:tx>
            <c:strRef>
              <c:f>'Pivot Table'!$H$6</c:f>
              <c:strCache>
                <c:ptCount val="1"/>
                <c:pt idx="0">
                  <c:v>Total</c:v>
                </c:pt>
              </c:strCache>
            </c:strRef>
          </c:tx>
          <c:spPr>
            <a:solidFill>
              <a:srgbClr val="002060"/>
            </a:solidFill>
            <a:ln>
              <a:noFill/>
            </a:ln>
            <a:effectLst/>
          </c:spPr>
          <c:invertIfNegative val="0"/>
          <c:trendline>
            <c:spPr>
              <a:ln w="19050" cap="rnd">
                <a:solidFill>
                  <a:schemeClr val="accent1"/>
                </a:solidFill>
                <a:prstDash val="sysDot"/>
              </a:ln>
              <a:effectLst/>
            </c:spPr>
            <c:trendlineType val="linear"/>
            <c:dispRSqr val="0"/>
            <c:dispEq val="0"/>
          </c:trendline>
          <c:cat>
            <c:multiLvlStrRef>
              <c:f>'Pivot Table'!$G$7:$G$57</c:f>
              <c:multiLvlStrCache>
                <c:ptCount val="33"/>
                <c:lvl>
                  <c:pt idx="0">
                    <c:v>January</c:v>
                  </c:pt>
                  <c:pt idx="1">
                    <c:v>February</c:v>
                  </c:pt>
                  <c:pt idx="2">
                    <c:v>March</c:v>
                  </c:pt>
                  <c:pt idx="3">
                    <c:v>April</c:v>
                  </c:pt>
                  <c:pt idx="4">
                    <c:v>May</c:v>
                  </c:pt>
                  <c:pt idx="5">
                    <c:v>June</c:v>
                  </c:pt>
                  <c:pt idx="6">
                    <c:v>August</c:v>
                  </c:pt>
                  <c:pt idx="7">
                    <c:v>September</c:v>
                  </c:pt>
                  <c:pt idx="8">
                    <c:v>October</c:v>
                  </c:pt>
                  <c:pt idx="9">
                    <c:v>December</c:v>
                  </c:pt>
                  <c:pt idx="10">
                    <c:v>January</c:v>
                  </c:pt>
                  <c:pt idx="11">
                    <c:v>February</c:v>
                  </c:pt>
                  <c:pt idx="12">
                    <c:v>March</c:v>
                  </c:pt>
                  <c:pt idx="13">
                    <c:v>May</c:v>
                  </c:pt>
                  <c:pt idx="14">
                    <c:v>June</c:v>
                  </c:pt>
                  <c:pt idx="15">
                    <c:v>October</c:v>
                  </c:pt>
                  <c:pt idx="16">
                    <c:v>December</c:v>
                  </c:pt>
                  <c:pt idx="17">
                    <c:v>January</c:v>
                  </c:pt>
                  <c:pt idx="18">
                    <c:v>February</c:v>
                  </c:pt>
                  <c:pt idx="19">
                    <c:v>March</c:v>
                  </c:pt>
                  <c:pt idx="20">
                    <c:v>April</c:v>
                  </c:pt>
                  <c:pt idx="21">
                    <c:v>May</c:v>
                  </c:pt>
                  <c:pt idx="22">
                    <c:v>June</c:v>
                  </c:pt>
                  <c:pt idx="23">
                    <c:v>July</c:v>
                  </c:pt>
                  <c:pt idx="24">
                    <c:v>August</c:v>
                  </c:pt>
                  <c:pt idx="25">
                    <c:v>January</c:v>
                  </c:pt>
                  <c:pt idx="26">
                    <c:v>February</c:v>
                  </c:pt>
                  <c:pt idx="27">
                    <c:v>March</c:v>
                  </c:pt>
                  <c:pt idx="28">
                    <c:v>April</c:v>
                  </c:pt>
                  <c:pt idx="29">
                    <c:v>May</c:v>
                  </c:pt>
                  <c:pt idx="30">
                    <c:v>June</c:v>
                  </c:pt>
                  <c:pt idx="31">
                    <c:v>October</c:v>
                  </c:pt>
                  <c:pt idx="32">
                    <c:v>November</c:v>
                  </c:pt>
                </c:lvl>
                <c:lvl>
                  <c:pt idx="0">
                    <c:v>Q1</c:v>
                  </c:pt>
                  <c:pt idx="3">
                    <c:v>Q2</c:v>
                  </c:pt>
                  <c:pt idx="6">
                    <c:v>Q3</c:v>
                  </c:pt>
                  <c:pt idx="8">
                    <c:v>Q4</c:v>
                  </c:pt>
                  <c:pt idx="10">
                    <c:v>Q1</c:v>
                  </c:pt>
                  <c:pt idx="13">
                    <c:v>Q2</c:v>
                  </c:pt>
                  <c:pt idx="15">
                    <c:v>Q4</c:v>
                  </c:pt>
                  <c:pt idx="17">
                    <c:v>Q1</c:v>
                  </c:pt>
                  <c:pt idx="20">
                    <c:v>Q2</c:v>
                  </c:pt>
                  <c:pt idx="23">
                    <c:v>Q3</c:v>
                  </c:pt>
                  <c:pt idx="25">
                    <c:v>Q1</c:v>
                  </c:pt>
                  <c:pt idx="28">
                    <c:v>Q2</c:v>
                  </c:pt>
                  <c:pt idx="31">
                    <c:v>Q4</c:v>
                  </c:pt>
                </c:lvl>
                <c:lvl>
                  <c:pt idx="0">
                    <c:v>East</c:v>
                  </c:pt>
                  <c:pt idx="10">
                    <c:v>North</c:v>
                  </c:pt>
                  <c:pt idx="17">
                    <c:v>South</c:v>
                  </c:pt>
                  <c:pt idx="25">
                    <c:v>West</c:v>
                  </c:pt>
                </c:lvl>
              </c:multiLvlStrCache>
            </c:multiLvlStrRef>
          </c:cat>
          <c:val>
            <c:numRef>
              <c:f>'Pivot Table'!$H$7:$H$57</c:f>
              <c:numCache>
                <c:formatCode>_([$NGN]\ * #,##0.00_);_([$NGN]\ * \(#,##0.00\);_([$NGN]\ * "-"??_);_(@_)</c:formatCode>
                <c:ptCount val="33"/>
                <c:pt idx="0">
                  <c:v>11165000</c:v>
                </c:pt>
                <c:pt idx="1">
                  <c:v>19310000</c:v>
                </c:pt>
                <c:pt idx="2">
                  <c:v>9275000</c:v>
                </c:pt>
                <c:pt idx="3">
                  <c:v>2550000</c:v>
                </c:pt>
                <c:pt idx="4">
                  <c:v>16451113</c:v>
                </c:pt>
                <c:pt idx="5">
                  <c:v>9660000</c:v>
                </c:pt>
                <c:pt idx="6">
                  <c:v>2100000</c:v>
                </c:pt>
                <c:pt idx="7">
                  <c:v>5000000</c:v>
                </c:pt>
                <c:pt idx="8">
                  <c:v>3325000</c:v>
                </c:pt>
                <c:pt idx="9">
                  <c:v>682385</c:v>
                </c:pt>
                <c:pt idx="10">
                  <c:v>16255000</c:v>
                </c:pt>
                <c:pt idx="11">
                  <c:v>4235000</c:v>
                </c:pt>
                <c:pt idx="12">
                  <c:v>1620000</c:v>
                </c:pt>
                <c:pt idx="13">
                  <c:v>5800000</c:v>
                </c:pt>
                <c:pt idx="14">
                  <c:v>4525000</c:v>
                </c:pt>
                <c:pt idx="15">
                  <c:v>1105000</c:v>
                </c:pt>
                <c:pt idx="16">
                  <c:v>5950000</c:v>
                </c:pt>
                <c:pt idx="17">
                  <c:v>15140000</c:v>
                </c:pt>
                <c:pt idx="18">
                  <c:v>10909960</c:v>
                </c:pt>
                <c:pt idx="19">
                  <c:v>1750000</c:v>
                </c:pt>
                <c:pt idx="20">
                  <c:v>3340000</c:v>
                </c:pt>
                <c:pt idx="21">
                  <c:v>2400000</c:v>
                </c:pt>
                <c:pt idx="22">
                  <c:v>32439500</c:v>
                </c:pt>
                <c:pt idx="23">
                  <c:v>1400000</c:v>
                </c:pt>
                <c:pt idx="24">
                  <c:v>750000</c:v>
                </c:pt>
                <c:pt idx="25">
                  <c:v>9722856</c:v>
                </c:pt>
                <c:pt idx="26">
                  <c:v>30524631</c:v>
                </c:pt>
                <c:pt idx="27">
                  <c:v>325000</c:v>
                </c:pt>
                <c:pt idx="28">
                  <c:v>6800000</c:v>
                </c:pt>
                <c:pt idx="29">
                  <c:v>9025000</c:v>
                </c:pt>
                <c:pt idx="30">
                  <c:v>58300000</c:v>
                </c:pt>
                <c:pt idx="31">
                  <c:v>130000</c:v>
                </c:pt>
                <c:pt idx="32">
                  <c:v>715000</c:v>
                </c:pt>
              </c:numCache>
            </c:numRef>
          </c:val>
          <c:extLst>
            <c:ext xmlns:c16="http://schemas.microsoft.com/office/drawing/2014/chart" uri="{C3380CC4-5D6E-409C-BE32-E72D297353CC}">
              <c16:uniqueId val="{00000001-7B3B-4482-825E-456564950D60}"/>
            </c:ext>
          </c:extLst>
        </c:ser>
        <c:dLbls>
          <c:showLegendKey val="0"/>
          <c:showVal val="0"/>
          <c:showCatName val="0"/>
          <c:showSerName val="0"/>
          <c:showPercent val="0"/>
          <c:showBubbleSize val="0"/>
        </c:dLbls>
        <c:gapWidth val="219"/>
        <c:overlap val="-27"/>
        <c:axId val="1349090767"/>
        <c:axId val="1349091727"/>
      </c:barChart>
      <c:catAx>
        <c:axId val="13490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091727"/>
        <c:crosses val="autoZero"/>
        <c:auto val="1"/>
        <c:lblAlgn val="ctr"/>
        <c:lblOffset val="100"/>
        <c:noMultiLvlLbl val="0"/>
      </c:catAx>
      <c:valAx>
        <c:axId val="1349091727"/>
        <c:scaling>
          <c:orientation val="minMax"/>
        </c:scaling>
        <c:delete val="0"/>
        <c:axPos val="l"/>
        <c:numFmt formatCode="_([$NGN]\ * #,##0.00_);_([$NGN]\ * \(#,##0.00\);_([$NGN]\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09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Ainow.xlsm]Pivot Table!Sales by Customer(s)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rgbClr val="002060"/>
                </a:solidFill>
              </a:rPr>
              <a:t>Sales by Customer(s)</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37314085739283"/>
          <c:y val="0.17171296296296296"/>
          <c:w val="0.70507130358705161"/>
          <c:h val="0.54087343248760567"/>
        </c:manualLayout>
      </c:layout>
      <c:barChart>
        <c:barDir val="col"/>
        <c:grouping val="clustered"/>
        <c:varyColors val="0"/>
        <c:ser>
          <c:idx val="0"/>
          <c:order val="0"/>
          <c:tx>
            <c:strRef>
              <c:f>'Pivot Table'!$K$6</c:f>
              <c:strCache>
                <c:ptCount val="1"/>
                <c:pt idx="0">
                  <c:v>Total</c:v>
                </c:pt>
              </c:strCache>
            </c:strRef>
          </c:tx>
          <c:spPr>
            <a:solidFill>
              <a:srgbClr val="002060"/>
            </a:solidFill>
            <a:ln>
              <a:noFill/>
            </a:ln>
            <a:effectLst/>
          </c:spPr>
          <c:invertIfNegative val="0"/>
          <c:cat>
            <c:strRef>
              <c:f>'Pivot Table'!$J$7:$J$21</c:f>
              <c:strCache>
                <c:ptCount val="14"/>
                <c:pt idx="0">
                  <c:v>Adewale Stores</c:v>
                </c:pt>
                <c:pt idx="1">
                  <c:v>Alpha Retailers</c:v>
                </c:pt>
                <c:pt idx="2">
                  <c:v>Bright Solutions</c:v>
                </c:pt>
                <c:pt idx="3">
                  <c:v>Chika Mart</c:v>
                </c:pt>
                <c:pt idx="4">
                  <c:v>Emeka Traders</c:v>
                </c:pt>
                <c:pt idx="5">
                  <c:v>Femi Tech</c:v>
                </c:pt>
                <c:pt idx="6">
                  <c:v>Jide Superstores</c:v>
                </c:pt>
                <c:pt idx="7">
                  <c:v>Kelvin Tech</c:v>
                </c:pt>
                <c:pt idx="8">
                  <c:v>Maryam Ltd</c:v>
                </c:pt>
                <c:pt idx="9">
                  <c:v>Musa Enterprises</c:v>
                </c:pt>
                <c:pt idx="10">
                  <c:v>Omega Wholesale</c:v>
                </c:pt>
                <c:pt idx="11">
                  <c:v>Tola Ventures</c:v>
                </c:pt>
                <c:pt idx="12">
                  <c:v>Tope &amp; Sons</c:v>
                </c:pt>
                <c:pt idx="13">
                  <c:v>Zainab Global</c:v>
                </c:pt>
              </c:strCache>
            </c:strRef>
          </c:cat>
          <c:val>
            <c:numRef>
              <c:f>'Pivot Table'!$K$7:$K$21</c:f>
              <c:numCache>
                <c:formatCode>_([$NGN]\ * #,##0.00_);_([$NGN]\ * \(#,##0.00\);_([$NGN]\ * "-"??_);_(@_)</c:formatCode>
                <c:ptCount val="14"/>
                <c:pt idx="0">
                  <c:v>2195000</c:v>
                </c:pt>
                <c:pt idx="1">
                  <c:v>11480000</c:v>
                </c:pt>
                <c:pt idx="2">
                  <c:v>31715000</c:v>
                </c:pt>
                <c:pt idx="3">
                  <c:v>15300000</c:v>
                </c:pt>
                <c:pt idx="4">
                  <c:v>17965000</c:v>
                </c:pt>
                <c:pt idx="5">
                  <c:v>31117487</c:v>
                </c:pt>
                <c:pt idx="6">
                  <c:v>23270000</c:v>
                </c:pt>
                <c:pt idx="7">
                  <c:v>10125000</c:v>
                </c:pt>
                <c:pt idx="8">
                  <c:v>12435000</c:v>
                </c:pt>
                <c:pt idx="9">
                  <c:v>27191113</c:v>
                </c:pt>
                <c:pt idx="10">
                  <c:v>89559500</c:v>
                </c:pt>
                <c:pt idx="11">
                  <c:v>12027385</c:v>
                </c:pt>
                <c:pt idx="12">
                  <c:v>8064960</c:v>
                </c:pt>
                <c:pt idx="13">
                  <c:v>10235000</c:v>
                </c:pt>
              </c:numCache>
            </c:numRef>
          </c:val>
          <c:extLst>
            <c:ext xmlns:c16="http://schemas.microsoft.com/office/drawing/2014/chart" uri="{C3380CC4-5D6E-409C-BE32-E72D297353CC}">
              <c16:uniqueId val="{00000000-035A-4206-B921-D757D049B159}"/>
            </c:ext>
          </c:extLst>
        </c:ser>
        <c:dLbls>
          <c:showLegendKey val="0"/>
          <c:showVal val="0"/>
          <c:showCatName val="0"/>
          <c:showSerName val="0"/>
          <c:showPercent val="0"/>
          <c:showBubbleSize val="0"/>
        </c:dLbls>
        <c:gapWidth val="219"/>
        <c:overlap val="-27"/>
        <c:axId val="1347920143"/>
        <c:axId val="1347923503"/>
      </c:barChart>
      <c:catAx>
        <c:axId val="134792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923503"/>
        <c:crosses val="autoZero"/>
        <c:auto val="1"/>
        <c:lblAlgn val="ctr"/>
        <c:lblOffset val="100"/>
        <c:noMultiLvlLbl val="0"/>
      </c:catAx>
      <c:valAx>
        <c:axId val="1347923503"/>
        <c:scaling>
          <c:orientation val="minMax"/>
        </c:scaling>
        <c:delete val="0"/>
        <c:axPos val="l"/>
        <c:numFmt formatCode="_([$NGN]\ * #,##0.00_);_([$NGN]\ * \(#,##0.00\);_([$NGN]\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92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Ainow.xlsm]Pivot Table!Sales by Quarter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Sales</a:t>
            </a:r>
            <a:r>
              <a:rPr lang="en-US" b="1" baseline="0">
                <a:solidFill>
                  <a:srgbClr val="002060"/>
                </a:solidFill>
              </a:rPr>
              <a:t> by Quarter</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Table'!$N$6</c:f>
              <c:strCache>
                <c:ptCount val="1"/>
                <c:pt idx="0">
                  <c:v>Total</c:v>
                </c:pt>
              </c:strCache>
            </c:strRef>
          </c:tx>
          <c:spPr>
            <a:solidFill>
              <a:srgbClr val="002060"/>
            </a:solidFill>
            <a:ln>
              <a:noFill/>
            </a:ln>
            <a:effectLst/>
          </c:spPr>
          <c:invertIfNegative val="0"/>
          <c:cat>
            <c:strRef>
              <c:f>'Pivot Table'!$M$7:$M$11</c:f>
              <c:strCache>
                <c:ptCount val="4"/>
                <c:pt idx="0">
                  <c:v>Q1</c:v>
                </c:pt>
                <c:pt idx="1">
                  <c:v>Q2</c:v>
                </c:pt>
                <c:pt idx="2">
                  <c:v>Q3</c:v>
                </c:pt>
                <c:pt idx="3">
                  <c:v>Q4</c:v>
                </c:pt>
              </c:strCache>
            </c:strRef>
          </c:cat>
          <c:val>
            <c:numRef>
              <c:f>'Pivot Table'!$N$7:$N$11</c:f>
              <c:numCache>
                <c:formatCode>_([$NGN]\ * #,##0.00_);_([$NGN]\ * \(#,##0.00\);_([$NGN]\ * "-"??_);_(@_)</c:formatCode>
                <c:ptCount val="4"/>
                <c:pt idx="0">
                  <c:v>130232447</c:v>
                </c:pt>
                <c:pt idx="1">
                  <c:v>151290613</c:v>
                </c:pt>
                <c:pt idx="2">
                  <c:v>9250000</c:v>
                </c:pt>
                <c:pt idx="3">
                  <c:v>11907385</c:v>
                </c:pt>
              </c:numCache>
            </c:numRef>
          </c:val>
          <c:extLst>
            <c:ext xmlns:c16="http://schemas.microsoft.com/office/drawing/2014/chart" uri="{C3380CC4-5D6E-409C-BE32-E72D297353CC}">
              <c16:uniqueId val="{00000000-2FB0-41E9-BAA1-6069F1B3D9F7}"/>
            </c:ext>
          </c:extLst>
        </c:ser>
        <c:dLbls>
          <c:showLegendKey val="0"/>
          <c:showVal val="0"/>
          <c:showCatName val="0"/>
          <c:showSerName val="0"/>
          <c:showPercent val="0"/>
          <c:showBubbleSize val="0"/>
        </c:dLbls>
        <c:gapWidth val="219"/>
        <c:overlap val="-27"/>
        <c:axId val="1374575663"/>
        <c:axId val="1174981055"/>
      </c:barChart>
      <c:catAx>
        <c:axId val="137457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81055"/>
        <c:crosses val="autoZero"/>
        <c:auto val="1"/>
        <c:lblAlgn val="ctr"/>
        <c:lblOffset val="100"/>
        <c:noMultiLvlLbl val="0"/>
      </c:catAx>
      <c:valAx>
        <c:axId val="1174981055"/>
        <c:scaling>
          <c:orientation val="minMax"/>
        </c:scaling>
        <c:delete val="0"/>
        <c:axPos val="l"/>
        <c:numFmt formatCode="_([$NGN]\ * #,##0.00_);_([$NGN]\ * \(#,##0.00\);_([$NGN]\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57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Ainow.xlsm]Pivot Table!Sales by Product and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Sales</a:t>
            </a:r>
            <a:r>
              <a:rPr lang="en-US" b="1" baseline="0">
                <a:solidFill>
                  <a:srgbClr val="002060"/>
                </a:solidFill>
              </a:rPr>
              <a:t> by Category and Product</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70647419072617"/>
          <c:y val="0.17171296296296296"/>
          <c:w val="0.71773797025371833"/>
          <c:h val="0.42700787401574802"/>
        </c:manualLayout>
      </c:layout>
      <c:barChart>
        <c:barDir val="col"/>
        <c:grouping val="clustered"/>
        <c:varyColors val="0"/>
        <c:ser>
          <c:idx val="0"/>
          <c:order val="0"/>
          <c:tx>
            <c:strRef>
              <c:f>'Pivot Table'!$Q$6</c:f>
              <c:strCache>
                <c:ptCount val="1"/>
                <c:pt idx="0">
                  <c:v>Total</c:v>
                </c:pt>
              </c:strCache>
            </c:strRef>
          </c:tx>
          <c:spPr>
            <a:solidFill>
              <a:srgbClr val="002060"/>
            </a:solidFill>
            <a:ln>
              <a:noFill/>
            </a:ln>
            <a:effectLst/>
          </c:spPr>
          <c:invertIfNegative val="0"/>
          <c:cat>
            <c:multiLvlStrRef>
              <c:f>'Pivot Table'!$P$7:$P$23</c:f>
              <c:multiLvlStrCache>
                <c:ptCount val="8"/>
                <c:lvl>
                  <c:pt idx="0">
                    <c:v>Peripherals</c:v>
                  </c:pt>
                  <c:pt idx="1">
                    <c:v>Photography</c:v>
                  </c:pt>
                  <c:pt idx="2">
                    <c:v>Computers</c:v>
                  </c:pt>
                  <c:pt idx="3">
                    <c:v>Peripherals</c:v>
                  </c:pt>
                  <c:pt idx="4">
                    <c:v>Mobile</c:v>
                  </c:pt>
                  <c:pt idx="5">
                    <c:v>Audio</c:v>
                  </c:pt>
                  <c:pt idx="6">
                    <c:v>Mobile</c:v>
                  </c:pt>
                  <c:pt idx="7">
                    <c:v>Electronics</c:v>
                  </c:pt>
                </c:lvl>
                <c:lvl>
                  <c:pt idx="1">
                    <c:v>Camera C100</c:v>
                  </c:pt>
                  <c:pt idx="2">
                    <c:v>Laptop A15</c:v>
                  </c:pt>
                  <c:pt idx="3">
                    <c:v>Monitor M24</c:v>
                  </c:pt>
                  <c:pt idx="4">
                    <c:v>Phone X12</c:v>
                  </c:pt>
                  <c:pt idx="5">
                    <c:v>Speaker S10</c:v>
                  </c:pt>
                  <c:pt idx="6">
                    <c:v>Tablet T8</c:v>
                  </c:pt>
                  <c:pt idx="7">
                    <c:v>Tv 43Q</c:v>
                  </c:pt>
                </c:lvl>
              </c:multiLvlStrCache>
            </c:multiLvlStrRef>
          </c:cat>
          <c:val>
            <c:numRef>
              <c:f>'Pivot Table'!$Q$7:$Q$23</c:f>
              <c:numCache>
                <c:formatCode>_([$NGN]\ * #,##0.00_);_([$NGN]\ * \(#,##0.00\);_([$NGN]\ * "-"??_);_(@_)</c:formatCode>
                <c:ptCount val="8"/>
                <c:pt idx="0">
                  <c:v>650000</c:v>
                </c:pt>
                <c:pt idx="1">
                  <c:v>25550000</c:v>
                </c:pt>
                <c:pt idx="2">
                  <c:v>134375000</c:v>
                </c:pt>
                <c:pt idx="3">
                  <c:v>21230201</c:v>
                </c:pt>
                <c:pt idx="4">
                  <c:v>14331113</c:v>
                </c:pt>
                <c:pt idx="5">
                  <c:v>8954631</c:v>
                </c:pt>
                <c:pt idx="6">
                  <c:v>33900000</c:v>
                </c:pt>
                <c:pt idx="7">
                  <c:v>63689500</c:v>
                </c:pt>
              </c:numCache>
            </c:numRef>
          </c:val>
          <c:extLst>
            <c:ext xmlns:c16="http://schemas.microsoft.com/office/drawing/2014/chart" uri="{C3380CC4-5D6E-409C-BE32-E72D297353CC}">
              <c16:uniqueId val="{00000000-9EE9-4208-920C-F8FDC14017F3}"/>
            </c:ext>
          </c:extLst>
        </c:ser>
        <c:dLbls>
          <c:showLegendKey val="0"/>
          <c:showVal val="0"/>
          <c:showCatName val="0"/>
          <c:showSerName val="0"/>
          <c:showPercent val="0"/>
          <c:showBubbleSize val="0"/>
        </c:dLbls>
        <c:gapWidth val="219"/>
        <c:overlap val="-27"/>
        <c:axId val="1346603999"/>
        <c:axId val="1346601119"/>
      </c:barChart>
      <c:catAx>
        <c:axId val="134660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601119"/>
        <c:crosses val="autoZero"/>
        <c:auto val="1"/>
        <c:lblAlgn val="ctr"/>
        <c:lblOffset val="100"/>
        <c:noMultiLvlLbl val="0"/>
      </c:catAx>
      <c:valAx>
        <c:axId val="1346601119"/>
        <c:scaling>
          <c:orientation val="minMax"/>
        </c:scaling>
        <c:delete val="0"/>
        <c:axPos val="l"/>
        <c:numFmt formatCode="_([$NGN]\ * #,##0.00_);_([$NGN]\ * \(#,##0.00\);_([$NGN]\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60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Ainow.xlsm]Pivot Table!Sales Trend by Month(s) </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Sales</a:t>
            </a:r>
            <a:r>
              <a:rPr lang="en-US" b="1" baseline="0">
                <a:solidFill>
                  <a:srgbClr val="002060"/>
                </a:solidFill>
              </a:rPr>
              <a:t> Trend by Month(s)</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37314085739283"/>
          <c:y val="0.17171296296296296"/>
          <c:w val="0.70507130358705161"/>
          <c:h val="0.72190835520559926"/>
        </c:manualLayout>
      </c:layout>
      <c:barChart>
        <c:barDir val="col"/>
        <c:grouping val="clustered"/>
        <c:varyColors val="0"/>
        <c:ser>
          <c:idx val="0"/>
          <c:order val="0"/>
          <c:tx>
            <c:strRef>
              <c:f>'Pivot Table'!$T$7</c:f>
              <c:strCache>
                <c:ptCount val="1"/>
                <c:pt idx="0">
                  <c:v>Total</c:v>
                </c:pt>
              </c:strCache>
            </c:strRef>
          </c:tx>
          <c:spPr>
            <a:solidFill>
              <a:srgbClr val="002060"/>
            </a:solidFill>
            <a:ln>
              <a:noFill/>
            </a:ln>
            <a:effectLst/>
          </c:spPr>
          <c:invertIfNegative val="0"/>
          <c:trendline>
            <c:spPr>
              <a:ln w="19050" cap="rnd">
                <a:solidFill>
                  <a:schemeClr val="accent1"/>
                </a:solidFill>
                <a:prstDash val="sysDot"/>
              </a:ln>
              <a:effectLst/>
            </c:spPr>
            <c:trendlineType val="linear"/>
            <c:dispRSqr val="0"/>
            <c:dispEq val="0"/>
          </c:trendline>
          <c:cat>
            <c:strRef>
              <c:f>'Pivot Table'!$S$8:$S$20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Table'!$T$8:$T$20</c:f>
              <c:numCache>
                <c:formatCode>_([$NGN]\ * #,##0.00_);_([$NGN]\ * \(#,##0.00\);_([$NGN]\ * "-"??_);_(@_)</c:formatCode>
                <c:ptCount val="12"/>
                <c:pt idx="0">
                  <c:v>52282856</c:v>
                </c:pt>
                <c:pt idx="1">
                  <c:v>64979591</c:v>
                </c:pt>
                <c:pt idx="2">
                  <c:v>12970000</c:v>
                </c:pt>
                <c:pt idx="3">
                  <c:v>12690000</c:v>
                </c:pt>
                <c:pt idx="4">
                  <c:v>33676113</c:v>
                </c:pt>
                <c:pt idx="5">
                  <c:v>104924500</c:v>
                </c:pt>
                <c:pt idx="6">
                  <c:v>1400000</c:v>
                </c:pt>
                <c:pt idx="7">
                  <c:v>2850000</c:v>
                </c:pt>
                <c:pt idx="8">
                  <c:v>5000000</c:v>
                </c:pt>
                <c:pt idx="9">
                  <c:v>4560000</c:v>
                </c:pt>
                <c:pt idx="10">
                  <c:v>715000</c:v>
                </c:pt>
                <c:pt idx="11">
                  <c:v>6632385</c:v>
                </c:pt>
              </c:numCache>
            </c:numRef>
          </c:val>
          <c:extLst>
            <c:ext xmlns:c16="http://schemas.microsoft.com/office/drawing/2014/chart" uri="{C3380CC4-5D6E-409C-BE32-E72D297353CC}">
              <c16:uniqueId val="{00000001-670A-4D99-BC12-CD54A63A6250}"/>
            </c:ext>
          </c:extLst>
        </c:ser>
        <c:dLbls>
          <c:showLegendKey val="0"/>
          <c:showVal val="0"/>
          <c:showCatName val="0"/>
          <c:showSerName val="0"/>
          <c:showPercent val="0"/>
          <c:showBubbleSize val="0"/>
        </c:dLbls>
        <c:gapWidth val="219"/>
        <c:overlap val="-27"/>
        <c:axId val="1359531439"/>
        <c:axId val="1359529519"/>
      </c:barChart>
      <c:catAx>
        <c:axId val="135953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529519"/>
        <c:crosses val="autoZero"/>
        <c:auto val="1"/>
        <c:lblAlgn val="ctr"/>
        <c:lblOffset val="100"/>
        <c:noMultiLvlLbl val="0"/>
      </c:catAx>
      <c:valAx>
        <c:axId val="1359529519"/>
        <c:scaling>
          <c:orientation val="minMax"/>
        </c:scaling>
        <c:delete val="0"/>
        <c:axPos val="l"/>
        <c:numFmt formatCode="_([$NGN]\ * #,##0.00_);_([$NGN]\ * \(#,##0.00\);_([$NGN]\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53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Ainow.xlsm]Pivot Table!Sales by Category</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Sales</a:t>
            </a:r>
            <a:r>
              <a:rPr lang="en-US" b="1" baseline="0">
                <a:solidFill>
                  <a:srgbClr val="002060"/>
                </a:solidFill>
              </a:rPr>
              <a:t> by Category</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37314085739283"/>
          <c:y val="0.17171296296296296"/>
          <c:w val="0.70507130358705161"/>
          <c:h val="0.60472586759988334"/>
        </c:manualLayout>
      </c:layout>
      <c:barChart>
        <c:barDir val="col"/>
        <c:grouping val="clustered"/>
        <c:varyColors val="0"/>
        <c:ser>
          <c:idx val="0"/>
          <c:order val="0"/>
          <c:tx>
            <c:strRef>
              <c:f>'Pivot Table'!$W$7</c:f>
              <c:strCache>
                <c:ptCount val="1"/>
                <c:pt idx="0">
                  <c:v>Total</c:v>
                </c:pt>
              </c:strCache>
            </c:strRef>
          </c:tx>
          <c:spPr>
            <a:solidFill>
              <a:srgbClr val="002060"/>
            </a:solidFill>
            <a:ln>
              <a:noFill/>
            </a:ln>
            <a:effectLst/>
          </c:spPr>
          <c:invertIfNegative val="0"/>
          <c:cat>
            <c:strRef>
              <c:f>'Pivot Table'!$V$8:$V$14</c:f>
              <c:strCache>
                <c:ptCount val="6"/>
                <c:pt idx="0">
                  <c:v>Audio</c:v>
                </c:pt>
                <c:pt idx="1">
                  <c:v>Computers</c:v>
                </c:pt>
                <c:pt idx="2">
                  <c:v>Electronics</c:v>
                </c:pt>
                <c:pt idx="3">
                  <c:v>Mobile</c:v>
                </c:pt>
                <c:pt idx="4">
                  <c:v>Peripherals</c:v>
                </c:pt>
                <c:pt idx="5">
                  <c:v>Photography</c:v>
                </c:pt>
              </c:strCache>
            </c:strRef>
          </c:cat>
          <c:val>
            <c:numRef>
              <c:f>'Pivot Table'!$W$8:$W$14</c:f>
              <c:numCache>
                <c:formatCode>_([$NGN]\ * #,##0.00_);_([$NGN]\ * \(#,##0.00\);_([$NGN]\ * "-"??_);_(@_)</c:formatCode>
                <c:ptCount val="6"/>
                <c:pt idx="0">
                  <c:v>8954631</c:v>
                </c:pt>
                <c:pt idx="1">
                  <c:v>134375000</c:v>
                </c:pt>
                <c:pt idx="2">
                  <c:v>63689500</c:v>
                </c:pt>
                <c:pt idx="3">
                  <c:v>48231113</c:v>
                </c:pt>
                <c:pt idx="4">
                  <c:v>21880201</c:v>
                </c:pt>
                <c:pt idx="5">
                  <c:v>25550000</c:v>
                </c:pt>
              </c:numCache>
            </c:numRef>
          </c:val>
          <c:extLst>
            <c:ext xmlns:c16="http://schemas.microsoft.com/office/drawing/2014/chart" uri="{C3380CC4-5D6E-409C-BE32-E72D297353CC}">
              <c16:uniqueId val="{00000000-1841-4FC8-A00B-B78A93CB53E3}"/>
            </c:ext>
          </c:extLst>
        </c:ser>
        <c:dLbls>
          <c:showLegendKey val="0"/>
          <c:showVal val="0"/>
          <c:showCatName val="0"/>
          <c:showSerName val="0"/>
          <c:showPercent val="0"/>
          <c:showBubbleSize val="0"/>
        </c:dLbls>
        <c:gapWidth val="219"/>
        <c:overlap val="-27"/>
        <c:axId val="1346602559"/>
        <c:axId val="1346602079"/>
      </c:barChart>
      <c:catAx>
        <c:axId val="134660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602079"/>
        <c:crosses val="autoZero"/>
        <c:auto val="1"/>
        <c:lblAlgn val="ctr"/>
        <c:lblOffset val="100"/>
        <c:noMultiLvlLbl val="0"/>
      </c:catAx>
      <c:valAx>
        <c:axId val="1346602079"/>
        <c:scaling>
          <c:orientation val="minMax"/>
        </c:scaling>
        <c:delete val="0"/>
        <c:axPos val="l"/>
        <c:numFmt formatCode="_([$NGN]\ * #,##0.00_);_([$NGN]\ * \(#,##0.00\);_([$NGN]\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60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Ainow.xlsm]Pivot Table!Sales by Product in Pie</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'Pivot Table'!$Z$7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4E-46B8-B380-E3DC3B93DD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4E-46B8-B380-E3DC3B93DD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4E-46B8-B380-E3DC3B93DD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4E-46B8-B380-E3DC3B93DDA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64E-46B8-B380-E3DC3B93DDA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64E-46B8-B380-E3DC3B93DDA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64E-46B8-B380-E3DC3B93DDA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64E-46B8-B380-E3DC3B93DD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Table'!$Y$8:$Y$24</c:f>
              <c:multiLvlStrCache>
                <c:ptCount val="8"/>
                <c:lvl>
                  <c:pt idx="0">
                    <c:v>Peripherals</c:v>
                  </c:pt>
                  <c:pt idx="1">
                    <c:v>Photography</c:v>
                  </c:pt>
                  <c:pt idx="2">
                    <c:v>Computers</c:v>
                  </c:pt>
                  <c:pt idx="3">
                    <c:v>Peripherals</c:v>
                  </c:pt>
                  <c:pt idx="4">
                    <c:v>Mobile</c:v>
                  </c:pt>
                  <c:pt idx="5">
                    <c:v>Audio</c:v>
                  </c:pt>
                  <c:pt idx="6">
                    <c:v>Mobile</c:v>
                  </c:pt>
                  <c:pt idx="7">
                    <c:v>Electronics</c:v>
                  </c:pt>
                </c:lvl>
                <c:lvl>
                  <c:pt idx="1">
                    <c:v>Camera C100</c:v>
                  </c:pt>
                  <c:pt idx="2">
                    <c:v>Laptop A15</c:v>
                  </c:pt>
                  <c:pt idx="3">
                    <c:v>Monitor M24</c:v>
                  </c:pt>
                  <c:pt idx="4">
                    <c:v>Phone X12</c:v>
                  </c:pt>
                  <c:pt idx="5">
                    <c:v>Speaker S10</c:v>
                  </c:pt>
                  <c:pt idx="6">
                    <c:v>Tablet T8</c:v>
                  </c:pt>
                  <c:pt idx="7">
                    <c:v>Tv 43Q</c:v>
                  </c:pt>
                </c:lvl>
              </c:multiLvlStrCache>
            </c:multiLvlStrRef>
          </c:cat>
          <c:val>
            <c:numRef>
              <c:f>'Pivot Table'!$Z$8:$Z$24</c:f>
              <c:numCache>
                <c:formatCode>_([$NGN]\ * #,##0.00_);_([$NGN]\ * \(#,##0.00\);_([$NGN]\ * "-"??_);_(@_)</c:formatCode>
                <c:ptCount val="8"/>
                <c:pt idx="0">
                  <c:v>650000</c:v>
                </c:pt>
                <c:pt idx="1">
                  <c:v>25550000</c:v>
                </c:pt>
                <c:pt idx="2">
                  <c:v>134375000</c:v>
                </c:pt>
                <c:pt idx="3">
                  <c:v>21230201</c:v>
                </c:pt>
                <c:pt idx="4">
                  <c:v>14331113</c:v>
                </c:pt>
                <c:pt idx="5">
                  <c:v>8954631</c:v>
                </c:pt>
                <c:pt idx="6">
                  <c:v>33900000</c:v>
                </c:pt>
                <c:pt idx="7">
                  <c:v>63689500</c:v>
                </c:pt>
              </c:numCache>
            </c:numRef>
          </c:val>
          <c:extLst>
            <c:ext xmlns:c16="http://schemas.microsoft.com/office/drawing/2014/chart" uri="{C3380CC4-5D6E-409C-BE32-E72D297353CC}">
              <c16:uniqueId val="{00000010-464E-46B8-B380-E3DC3B93DDA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25400</xdr:rowOff>
    </xdr:from>
    <xdr:to>
      <xdr:col>14</xdr:col>
      <xdr:colOff>19050</xdr:colOff>
      <xdr:row>9</xdr:row>
      <xdr:rowOff>25400</xdr:rowOff>
    </xdr:to>
    <xdr:sp macro="" textlink="">
      <xdr:nvSpPr>
        <xdr:cNvPr id="2" name="TextBox 1">
          <a:extLst>
            <a:ext uri="{FF2B5EF4-FFF2-40B4-BE49-F238E27FC236}">
              <a16:creationId xmlns:a16="http://schemas.microsoft.com/office/drawing/2014/main" id="{BEBDE3F9-747E-F89B-1A42-02FEE20405A0}"/>
            </a:ext>
          </a:extLst>
        </xdr:cNvPr>
        <xdr:cNvSpPr txBox="1"/>
      </xdr:nvSpPr>
      <xdr:spPr>
        <a:xfrm>
          <a:off x="241300" y="825500"/>
          <a:ext cx="7943850" cy="1104900"/>
        </a:xfrm>
        <a:prstGeom prst="rect">
          <a:avLst/>
        </a:prstGeom>
        <a:solidFill>
          <a:schemeClr val="lt1"/>
        </a:solidFill>
        <a:ln w="12700" cmpd="sng">
          <a:solidFill>
            <a:sysClr val="windowText" lastClr="000000"/>
          </a:solidFill>
          <a:prstDash val="sysDash"/>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D-Lite Electronics Ltd. operates across four major regions in Nigeria: North, South, East, and West. The company’s sales data is inconsistent and often contains errors. As a Data Analyst, your task is to clean, analyse, and visualise the data to support management decision-making leveraging</a:t>
          </a:r>
          <a:r>
            <a:rPr lang="en-US" sz="1600" baseline="0">
              <a:solidFill>
                <a:schemeClr val="dk1"/>
              </a:solidFill>
              <a:effectLst/>
              <a:latin typeface="+mn-lt"/>
              <a:ea typeface="+mn-ea"/>
              <a:cs typeface="+mn-cs"/>
            </a:rPr>
            <a:t> all the concepts learnt during the training</a:t>
          </a:r>
          <a:r>
            <a:rPr lang="en-US" sz="1600">
              <a:solidFill>
                <a:schemeClr val="dk1"/>
              </a:solidFill>
              <a:effectLst/>
              <a:latin typeface="+mn-lt"/>
              <a:ea typeface="+mn-ea"/>
              <a:cs typeface="+mn-cs"/>
            </a:rPr>
            <a:t>.</a:t>
          </a:r>
        </a:p>
        <a:p>
          <a:endParaRPr lang="en-US"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10</xdr:row>
      <xdr:rowOff>152995</xdr:rowOff>
    </xdr:from>
    <xdr:to>
      <xdr:col>8</xdr:col>
      <xdr:colOff>304800</xdr:colOff>
      <xdr:row>25</xdr:row>
      <xdr:rowOff>35719</xdr:rowOff>
    </xdr:to>
    <xdr:graphicFrame macro="">
      <xdr:nvGraphicFramePr>
        <xdr:cNvPr id="2" name="Chart 1">
          <a:extLst>
            <a:ext uri="{FF2B5EF4-FFF2-40B4-BE49-F238E27FC236}">
              <a16:creationId xmlns:a16="http://schemas.microsoft.com/office/drawing/2014/main" id="{FFD2D822-8699-48CE-8B59-AB28F223A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0</xdr:row>
      <xdr:rowOff>0</xdr:rowOff>
    </xdr:from>
    <xdr:to>
      <xdr:col>36</xdr:col>
      <xdr:colOff>247650</xdr:colOff>
      <xdr:row>3</xdr:row>
      <xdr:rowOff>57150</xdr:rowOff>
    </xdr:to>
    <xdr:sp macro="" textlink="">
      <xdr:nvSpPr>
        <xdr:cNvPr id="3" name="Rectangle 2">
          <a:extLst>
            <a:ext uri="{FF2B5EF4-FFF2-40B4-BE49-F238E27FC236}">
              <a16:creationId xmlns:a16="http://schemas.microsoft.com/office/drawing/2014/main" id="{A66058DB-D482-4553-8A5F-64DABD94A166}"/>
            </a:ext>
          </a:extLst>
        </xdr:cNvPr>
        <xdr:cNvSpPr/>
      </xdr:nvSpPr>
      <xdr:spPr>
        <a:xfrm>
          <a:off x="9525" y="0"/>
          <a:ext cx="22183725" cy="62865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t>Sales Dashboard For</a:t>
          </a:r>
          <a:r>
            <a:rPr lang="en-US" sz="3600" baseline="0"/>
            <a:t> </a:t>
          </a:r>
          <a:r>
            <a:rPr lang="en-US" sz="3600">
              <a:solidFill>
                <a:schemeClr val="lt1"/>
              </a:solidFill>
              <a:effectLst/>
              <a:latin typeface="+mn-lt"/>
              <a:ea typeface="+mn-ea"/>
              <a:cs typeface="+mn-cs"/>
            </a:rPr>
            <a:t>D-Lite Electronics Ltd(2025)</a:t>
          </a:r>
        </a:p>
      </xdr:txBody>
    </xdr:sp>
    <xdr:clientData/>
  </xdr:twoCellAnchor>
  <xdr:twoCellAnchor>
    <xdr:from>
      <xdr:col>10</xdr:col>
      <xdr:colOff>0</xdr:colOff>
      <xdr:row>10</xdr:row>
      <xdr:rowOff>163711</xdr:rowOff>
    </xdr:from>
    <xdr:to>
      <xdr:col>17</xdr:col>
      <xdr:colOff>304800</xdr:colOff>
      <xdr:row>25</xdr:row>
      <xdr:rowOff>46435</xdr:rowOff>
    </xdr:to>
    <xdr:graphicFrame macro="">
      <xdr:nvGraphicFramePr>
        <xdr:cNvPr id="4" name="Chart 3">
          <a:extLst>
            <a:ext uri="{FF2B5EF4-FFF2-40B4-BE49-F238E27FC236}">
              <a16:creationId xmlns:a16="http://schemas.microsoft.com/office/drawing/2014/main" id="{88CBAE21-4EAD-450A-99D8-D81119BE4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10</xdr:row>
      <xdr:rowOff>148828</xdr:rowOff>
    </xdr:from>
    <xdr:to>
      <xdr:col>26</xdr:col>
      <xdr:colOff>304800</xdr:colOff>
      <xdr:row>25</xdr:row>
      <xdr:rowOff>31552</xdr:rowOff>
    </xdr:to>
    <xdr:graphicFrame macro="">
      <xdr:nvGraphicFramePr>
        <xdr:cNvPr id="5" name="Chart 4">
          <a:extLst>
            <a:ext uri="{FF2B5EF4-FFF2-40B4-BE49-F238E27FC236}">
              <a16:creationId xmlns:a16="http://schemas.microsoft.com/office/drawing/2014/main" id="{A76E1189-6537-441C-9E2D-901F4C56D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0</xdr:colOff>
      <xdr:row>10</xdr:row>
      <xdr:rowOff>163711</xdr:rowOff>
    </xdr:from>
    <xdr:to>
      <xdr:col>35</xdr:col>
      <xdr:colOff>304800</xdr:colOff>
      <xdr:row>25</xdr:row>
      <xdr:rowOff>46435</xdr:rowOff>
    </xdr:to>
    <xdr:graphicFrame macro="">
      <xdr:nvGraphicFramePr>
        <xdr:cNvPr id="6" name="Chart 5">
          <a:extLst>
            <a:ext uri="{FF2B5EF4-FFF2-40B4-BE49-F238E27FC236}">
              <a16:creationId xmlns:a16="http://schemas.microsoft.com/office/drawing/2014/main" id="{A80D70FB-BD90-46B7-AFEF-E5DAA32A0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14883</xdr:colOff>
      <xdr:row>26</xdr:row>
      <xdr:rowOff>133945</xdr:rowOff>
    </xdr:from>
    <xdr:to>
      <xdr:col>8</xdr:col>
      <xdr:colOff>319683</xdr:colOff>
      <xdr:row>41</xdr:row>
      <xdr:rowOff>16669</xdr:rowOff>
    </xdr:to>
    <xdr:graphicFrame macro="">
      <xdr:nvGraphicFramePr>
        <xdr:cNvPr id="7" name="Chart 6">
          <a:extLst>
            <a:ext uri="{FF2B5EF4-FFF2-40B4-BE49-F238E27FC236}">
              <a16:creationId xmlns:a16="http://schemas.microsoft.com/office/drawing/2014/main" id="{857C952F-5921-48A4-9509-31774A606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14883</xdr:colOff>
      <xdr:row>26</xdr:row>
      <xdr:rowOff>119062</xdr:rowOff>
    </xdr:from>
    <xdr:to>
      <xdr:col>17</xdr:col>
      <xdr:colOff>319683</xdr:colOff>
      <xdr:row>41</xdr:row>
      <xdr:rowOff>1786</xdr:rowOff>
    </xdr:to>
    <xdr:graphicFrame macro="">
      <xdr:nvGraphicFramePr>
        <xdr:cNvPr id="8" name="Chart 7">
          <a:extLst>
            <a:ext uri="{FF2B5EF4-FFF2-40B4-BE49-F238E27FC236}">
              <a16:creationId xmlns:a16="http://schemas.microsoft.com/office/drawing/2014/main" id="{45AD921B-D143-4F0F-8A46-CF88D352F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14883</xdr:colOff>
      <xdr:row>26</xdr:row>
      <xdr:rowOff>121443</xdr:rowOff>
    </xdr:from>
    <xdr:to>
      <xdr:col>26</xdr:col>
      <xdr:colOff>319683</xdr:colOff>
      <xdr:row>41</xdr:row>
      <xdr:rowOff>7143</xdr:rowOff>
    </xdr:to>
    <xdr:graphicFrame macro="">
      <xdr:nvGraphicFramePr>
        <xdr:cNvPr id="9" name="Chart 8">
          <a:extLst>
            <a:ext uri="{FF2B5EF4-FFF2-40B4-BE49-F238E27FC236}">
              <a16:creationId xmlns:a16="http://schemas.microsoft.com/office/drawing/2014/main" id="{5D64EB92-1690-41AB-B6FA-58AB90D61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14883</xdr:colOff>
      <xdr:row>26</xdr:row>
      <xdr:rowOff>133944</xdr:rowOff>
    </xdr:from>
    <xdr:to>
      <xdr:col>35</xdr:col>
      <xdr:colOff>319683</xdr:colOff>
      <xdr:row>41</xdr:row>
      <xdr:rowOff>16668</xdr:rowOff>
    </xdr:to>
    <xdr:graphicFrame macro="">
      <xdr:nvGraphicFramePr>
        <xdr:cNvPr id="10" name="Chart 9">
          <a:extLst>
            <a:ext uri="{FF2B5EF4-FFF2-40B4-BE49-F238E27FC236}">
              <a16:creationId xmlns:a16="http://schemas.microsoft.com/office/drawing/2014/main" id="{21E79872-1470-4B04-98EE-6FD5FC09B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282773</xdr:colOff>
      <xdr:row>3</xdr:row>
      <xdr:rowOff>148828</xdr:rowOff>
    </xdr:from>
    <xdr:to>
      <xdr:col>15</xdr:col>
      <xdr:colOff>59531</xdr:colOff>
      <xdr:row>8</xdr:row>
      <xdr:rowOff>14882</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6114C125-7372-4472-A192-3C8819F6E79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82773" y="729258"/>
              <a:ext cx="8929688" cy="833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431601</xdr:colOff>
      <xdr:row>3</xdr:row>
      <xdr:rowOff>148828</xdr:rowOff>
    </xdr:from>
    <xdr:to>
      <xdr:col>36</xdr:col>
      <xdr:colOff>208359</xdr:colOff>
      <xdr:row>8</xdr:row>
      <xdr:rowOff>22621</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6EAEF27A-9DDB-40E0-83E4-CB81A14C79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84531" y="729258"/>
              <a:ext cx="12590859" cy="841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43</xdr:row>
      <xdr:rowOff>0</xdr:rowOff>
    </xdr:from>
    <xdr:to>
      <xdr:col>8</xdr:col>
      <xdr:colOff>300632</xdr:colOff>
      <xdr:row>57</xdr:row>
      <xdr:rowOff>34528</xdr:rowOff>
    </xdr:to>
    <xdr:graphicFrame macro="">
      <xdr:nvGraphicFramePr>
        <xdr:cNvPr id="13" name="Sales by Product in Pie">
          <a:extLst>
            <a:ext uri="{FF2B5EF4-FFF2-40B4-BE49-F238E27FC236}">
              <a16:creationId xmlns:a16="http://schemas.microsoft.com/office/drawing/2014/main" id="{D4D3B42D-23B5-4994-8498-07802955C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89298</xdr:colOff>
      <xdr:row>43</xdr:row>
      <xdr:rowOff>104179</xdr:rowOff>
    </xdr:from>
    <xdr:to>
      <xdr:col>26</xdr:col>
      <xdr:colOff>119064</xdr:colOff>
      <xdr:row>64</xdr:row>
      <xdr:rowOff>119062</xdr:rowOff>
    </xdr:to>
    <xdr:sp macro="" textlink="">
      <xdr:nvSpPr>
        <xdr:cNvPr id="15" name="Rectangle 14">
          <a:extLst>
            <a:ext uri="{FF2B5EF4-FFF2-40B4-BE49-F238E27FC236}">
              <a16:creationId xmlns:a16="http://schemas.microsoft.com/office/drawing/2014/main" id="{6B124309-8F9A-58A3-2FA3-24F028FBBB31}"/>
            </a:ext>
          </a:extLst>
        </xdr:cNvPr>
        <xdr:cNvSpPr/>
      </xdr:nvSpPr>
      <xdr:spPr>
        <a:xfrm>
          <a:off x="6191251" y="8423671"/>
          <a:ext cx="9792891" cy="407789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0">
              <a:solidFill>
                <a:sysClr val="windowText" lastClr="000000"/>
              </a:solidFill>
            </a:rPr>
            <a:t>  </a:t>
          </a:r>
          <a:r>
            <a:rPr lang="en-US" sz="2400" b="0">
              <a:solidFill>
                <a:sysClr val="windowText" lastClr="000000"/>
              </a:solidFill>
              <a:latin typeface="Georgia" panose="02040502050405020303" pitchFamily="18" charset="0"/>
            </a:rPr>
            <a:t>Insights</a:t>
          </a:r>
          <a:r>
            <a:rPr lang="en-US" sz="2400" b="0" baseline="0">
              <a:solidFill>
                <a:sysClr val="windowText" lastClr="000000"/>
              </a:solidFill>
              <a:latin typeface="Georgia" panose="02040502050405020303" pitchFamily="18" charset="0"/>
            </a:rPr>
            <a:t>                                                                                          Suggestions</a:t>
          </a:r>
          <a:endParaRPr lang="en-US" sz="1100" b="0">
            <a:solidFill>
              <a:sysClr val="windowText" lastClr="000000"/>
            </a:solidFill>
            <a:latin typeface="Georgia" panose="02040502050405020303" pitchFamily="18" charset="0"/>
          </a:endParaRPr>
        </a:p>
      </xdr:txBody>
    </xdr:sp>
    <xdr:clientData/>
  </xdr:twoCellAnchor>
  <xdr:twoCellAnchor>
    <xdr:from>
      <xdr:col>10</xdr:col>
      <xdr:colOff>431601</xdr:colOff>
      <xdr:row>46</xdr:row>
      <xdr:rowOff>74414</xdr:rowOff>
    </xdr:from>
    <xdr:to>
      <xdr:col>18</xdr:col>
      <xdr:colOff>44647</xdr:colOff>
      <xdr:row>63</xdr:row>
      <xdr:rowOff>133946</xdr:rowOff>
    </xdr:to>
    <xdr:sp macro="" textlink="">
      <xdr:nvSpPr>
        <xdr:cNvPr id="16" name="Rectangle 15">
          <a:extLst>
            <a:ext uri="{FF2B5EF4-FFF2-40B4-BE49-F238E27FC236}">
              <a16:creationId xmlns:a16="http://schemas.microsoft.com/office/drawing/2014/main" id="{95C27BE8-9BE1-5B9C-8EC9-AA8C1D8EA72B}"/>
            </a:ext>
          </a:extLst>
        </xdr:cNvPr>
        <xdr:cNvSpPr/>
      </xdr:nvSpPr>
      <xdr:spPr>
        <a:xfrm>
          <a:off x="6533554" y="8974336"/>
          <a:ext cx="4494609" cy="334863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285750" indent="-285750" algn="l">
            <a:buFont typeface="Arial" panose="020B0604020202020204" pitchFamily="34" charset="0"/>
            <a:buChar char="•"/>
          </a:pPr>
          <a:r>
            <a:rPr lang="en-US" sz="1750">
              <a:solidFill>
                <a:schemeClr val="tx1"/>
              </a:solidFill>
            </a:rPr>
            <a:t>Each Region varies significantly by Sales Performance.</a:t>
          </a:r>
        </a:p>
        <a:p>
          <a:pPr marL="285750" indent="-285750" algn="l">
            <a:buFont typeface="Arial" panose="020B0604020202020204" pitchFamily="34" charset="0"/>
            <a:buChar char="•"/>
          </a:pPr>
          <a:r>
            <a:rPr lang="en-US" sz="1750">
              <a:solidFill>
                <a:schemeClr val="tx1"/>
              </a:solidFill>
            </a:rPr>
            <a:t>The highest revenue were generated</a:t>
          </a:r>
          <a:r>
            <a:rPr lang="en-US" sz="1750" baseline="0">
              <a:solidFill>
                <a:schemeClr val="tx1"/>
              </a:solidFill>
            </a:rPr>
            <a:t> from West and South</a:t>
          </a:r>
          <a:r>
            <a:rPr lang="en-US" sz="1750">
              <a:solidFill>
                <a:schemeClr val="tx1"/>
              </a:solidFill>
            </a:rPr>
            <a:t>.</a:t>
          </a:r>
        </a:p>
        <a:p>
          <a:pPr marL="285750" indent="-285750" algn="l">
            <a:buFont typeface="Arial" panose="020B0604020202020204" pitchFamily="34" charset="0"/>
            <a:buChar char="•"/>
          </a:pPr>
          <a:r>
            <a:rPr lang="en-US" sz="1750">
              <a:solidFill>
                <a:schemeClr val="tx1"/>
              </a:solidFill>
            </a:rPr>
            <a:t>The strongest quarterly sales came</a:t>
          </a:r>
          <a:r>
            <a:rPr lang="en-US" sz="1750" baseline="0">
              <a:solidFill>
                <a:schemeClr val="tx1"/>
              </a:solidFill>
            </a:rPr>
            <a:t> from Q2</a:t>
          </a:r>
          <a:r>
            <a:rPr lang="en-US" sz="1750">
              <a:solidFill>
                <a:schemeClr val="tx1"/>
              </a:solidFill>
            </a:rPr>
            <a:t>.</a:t>
          </a:r>
        </a:p>
        <a:p>
          <a:pPr marL="285750" indent="-285750" algn="l">
            <a:buFont typeface="Arial" panose="020B0604020202020204" pitchFamily="34" charset="0"/>
            <a:buChar char="•"/>
          </a:pPr>
          <a:r>
            <a:rPr lang="en-US" sz="1750">
              <a:solidFill>
                <a:schemeClr val="tx1"/>
              </a:solidFill>
            </a:rPr>
            <a:t>Sales peak mid-year, especially around June/July.</a:t>
          </a:r>
        </a:p>
        <a:p>
          <a:pPr marL="285750" indent="-285750" algn="l">
            <a:buFont typeface="Arial" panose="020B0604020202020204" pitchFamily="34" charset="0"/>
            <a:buChar char="•"/>
          </a:pPr>
          <a:r>
            <a:rPr lang="en-US" sz="1750">
              <a:solidFill>
                <a:schemeClr val="tx1"/>
              </a:solidFill>
            </a:rPr>
            <a:t>The top-selling product categories</a:t>
          </a:r>
          <a:r>
            <a:rPr lang="en-US" sz="1750" baseline="0">
              <a:solidFill>
                <a:schemeClr val="tx1"/>
              </a:solidFill>
            </a:rPr>
            <a:t> are Laptops and Phones.</a:t>
          </a:r>
        </a:p>
        <a:p>
          <a:pPr marL="285750" indent="-285750" algn="l">
            <a:buFont typeface="Arial" panose="020B0604020202020204" pitchFamily="34" charset="0"/>
            <a:buChar char="•"/>
          </a:pPr>
          <a:r>
            <a:rPr lang="en-US" sz="1750">
              <a:solidFill>
                <a:schemeClr val="tx1"/>
              </a:solidFill>
            </a:rPr>
            <a:t>Revenue is concentrated among a few key customers and salespersons.</a:t>
          </a:r>
        </a:p>
      </xdr:txBody>
    </xdr:sp>
    <xdr:clientData/>
  </xdr:twoCellAnchor>
  <xdr:twoCellAnchor>
    <xdr:from>
      <xdr:col>18</xdr:col>
      <xdr:colOff>461367</xdr:colOff>
      <xdr:row>46</xdr:row>
      <xdr:rowOff>89297</xdr:rowOff>
    </xdr:from>
    <xdr:to>
      <xdr:col>25</xdr:col>
      <xdr:colOff>372074</xdr:colOff>
      <xdr:row>63</xdr:row>
      <xdr:rowOff>133946</xdr:rowOff>
    </xdr:to>
    <xdr:sp macro="" textlink="">
      <xdr:nvSpPr>
        <xdr:cNvPr id="17" name="Rectangle 16">
          <a:extLst>
            <a:ext uri="{FF2B5EF4-FFF2-40B4-BE49-F238E27FC236}">
              <a16:creationId xmlns:a16="http://schemas.microsoft.com/office/drawing/2014/main" id="{E4E8A73D-A7DB-8EB2-44E4-D29DF0A8DBA4}"/>
            </a:ext>
          </a:extLst>
        </xdr:cNvPr>
        <xdr:cNvSpPr/>
      </xdr:nvSpPr>
      <xdr:spPr>
        <a:xfrm>
          <a:off x="11444883" y="8989219"/>
          <a:ext cx="4182074" cy="3333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285750" indent="-285750" algn="l">
            <a:buFont typeface="Arial" panose="020B0604020202020204" pitchFamily="34" charset="0"/>
            <a:buChar char="•"/>
          </a:pPr>
          <a:r>
            <a:rPr lang="en-US" sz="1430">
              <a:solidFill>
                <a:schemeClr val="tx1"/>
              </a:solidFill>
              <a:effectLst/>
              <a:latin typeface="+mn-lt"/>
              <a:ea typeface="+mn-ea"/>
              <a:cs typeface="+mn-cs"/>
            </a:rPr>
            <a:t>Strategies in </a:t>
          </a:r>
          <a:r>
            <a:rPr lang="en-US" sz="1430">
              <a:solidFill>
                <a:schemeClr val="tx1"/>
              </a:solidFill>
            </a:rPr>
            <a:t>West and South region should be replictaed in lower-performing regions to boost overall sales.</a:t>
          </a:r>
        </a:p>
        <a:p>
          <a:pPr marL="285750" indent="-285750" algn="l">
            <a:buFont typeface="Arial" panose="020B0604020202020204" pitchFamily="34" charset="0"/>
            <a:buChar char="•"/>
          </a:pPr>
          <a:r>
            <a:rPr lang="en-US" sz="1430">
              <a:solidFill>
                <a:schemeClr val="tx1"/>
              </a:solidFill>
              <a:effectLst/>
              <a:latin typeface="+mn-lt"/>
              <a:ea typeface="+mn-ea"/>
              <a:cs typeface="+mn-cs"/>
            </a:rPr>
            <a:t>As Q2 shows the highest demand,</a:t>
          </a:r>
          <a:r>
            <a:rPr lang="en-US" sz="1430" baseline="0">
              <a:solidFill>
                <a:schemeClr val="tx1"/>
              </a:solidFill>
              <a:effectLst/>
              <a:latin typeface="+mn-lt"/>
              <a:ea typeface="+mn-ea"/>
              <a:cs typeface="+mn-cs"/>
            </a:rPr>
            <a:t> there should be </a:t>
          </a:r>
          <a:r>
            <a:rPr lang="en-US" sz="1430">
              <a:solidFill>
                <a:schemeClr val="tx1"/>
              </a:solidFill>
            </a:rPr>
            <a:t>Increase marketing and stock availability in Q2.</a:t>
          </a:r>
        </a:p>
        <a:p>
          <a:pPr marL="285750" indent="-285750" algn="l">
            <a:buFont typeface="Arial" panose="020B0604020202020204" pitchFamily="34" charset="0"/>
            <a:buChar char="•"/>
          </a:pPr>
          <a:r>
            <a:rPr lang="en-US" sz="1430">
              <a:solidFill>
                <a:schemeClr val="tx1"/>
              </a:solidFill>
            </a:rPr>
            <a:t>Plan inventory around mid-year peaks to prevent stockouts and missed revenue.</a:t>
          </a:r>
        </a:p>
        <a:p>
          <a:pPr marL="285750" indent="-285750" algn="l">
            <a:buFont typeface="Arial" panose="020B0604020202020204" pitchFamily="34" charset="0"/>
            <a:buChar char="•"/>
          </a:pPr>
          <a:r>
            <a:rPr lang="en-US" sz="1430">
              <a:solidFill>
                <a:schemeClr val="tx1"/>
              </a:solidFill>
              <a:effectLst/>
              <a:latin typeface="+mn-lt"/>
              <a:ea typeface="+mn-ea"/>
              <a:cs typeface="+mn-cs"/>
            </a:rPr>
            <a:t>Discount slower-moving items</a:t>
          </a:r>
          <a:r>
            <a:rPr lang="en-US" sz="1430" baseline="0">
              <a:solidFill>
                <a:schemeClr val="tx1"/>
              </a:solidFill>
              <a:effectLst/>
              <a:latin typeface="+mn-lt"/>
              <a:ea typeface="+mn-ea"/>
              <a:cs typeface="+mn-cs"/>
            </a:rPr>
            <a:t> while p</a:t>
          </a:r>
          <a:r>
            <a:rPr lang="en-US" sz="1430">
              <a:solidFill>
                <a:schemeClr val="tx1"/>
              </a:solidFill>
            </a:rPr>
            <a:t>romoting high-performing products.</a:t>
          </a:r>
        </a:p>
        <a:p>
          <a:pPr marL="285750" indent="-285750" algn="l">
            <a:buFont typeface="Arial" panose="020B0604020202020204" pitchFamily="34" charset="0"/>
            <a:buChar char="•"/>
          </a:pPr>
          <a:r>
            <a:rPr lang="en-US" sz="1430">
              <a:solidFill>
                <a:schemeClr val="tx1"/>
              </a:solidFill>
            </a:rPr>
            <a:t>Strengthen relationships with top customers and develop loyalty programs to retain them.</a:t>
          </a:r>
        </a:p>
        <a:p>
          <a:pPr marL="285750" indent="-285750" algn="l">
            <a:buFont typeface="Arial" panose="020B0604020202020204" pitchFamily="34" charset="0"/>
            <a:buChar char="•"/>
          </a:pPr>
          <a:r>
            <a:rPr lang="en-US" sz="1430">
              <a:solidFill>
                <a:schemeClr val="tx1"/>
              </a:solidFill>
              <a:effectLst/>
              <a:latin typeface="+mn-lt"/>
              <a:ea typeface="+mn-ea"/>
              <a:cs typeface="+mn-cs"/>
            </a:rPr>
            <a:t>The</a:t>
          </a:r>
          <a:r>
            <a:rPr lang="en-US" sz="1430" baseline="0">
              <a:solidFill>
                <a:schemeClr val="tx1"/>
              </a:solidFill>
              <a:effectLst/>
              <a:latin typeface="+mn-lt"/>
              <a:ea typeface="+mn-ea"/>
              <a:cs typeface="+mn-cs"/>
            </a:rPr>
            <a:t> </a:t>
          </a:r>
          <a:r>
            <a:rPr lang="en-US" sz="1430">
              <a:solidFill>
                <a:schemeClr val="tx1"/>
              </a:solidFill>
              <a:effectLst/>
              <a:latin typeface="+mn-lt"/>
              <a:ea typeface="+mn-ea"/>
              <a:cs typeface="+mn-cs"/>
            </a:rPr>
            <a:t>underperforming sales staff should be p</a:t>
          </a:r>
          <a:r>
            <a:rPr lang="en-US" sz="1430">
              <a:solidFill>
                <a:schemeClr val="tx1"/>
              </a:solidFill>
            </a:rPr>
            <a:t>rovided performance incentives and sent</a:t>
          </a:r>
          <a:r>
            <a:rPr lang="en-US" sz="1430" baseline="0">
              <a:solidFill>
                <a:schemeClr val="tx1"/>
              </a:solidFill>
            </a:rPr>
            <a:t> for </a:t>
          </a:r>
          <a:r>
            <a:rPr lang="en-US" sz="1430">
              <a:solidFill>
                <a:schemeClr val="tx1"/>
              </a:solidFill>
            </a:rPr>
            <a:t>training.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E ROCK MONTESSORI" refreshedDate="46036.463296759262" createdVersion="8" refreshedVersion="8" minRefreshableVersion="3" recordCount="100" xr:uid="{C92700E6-8742-40EE-8B21-5EFD0E8B74BF}">
  <cacheSource type="worksheet">
    <worksheetSource name="Table1"/>
  </cacheSource>
  <cacheFields count="13">
    <cacheField name="Date" numFmtId="0">
      <sharedItems containsSemiMixedTypes="0" containsNonDate="0" containsDate="1" containsString="0" minDate="2025-01-02T00:00:00" maxDate="2025-12-07T00:00:00" count="77">
        <d v="2025-06-13T00:00:00"/>
        <d v="2025-08-04T00:00:00"/>
        <d v="2025-01-29T00:00:00"/>
        <d v="2025-05-17T00:00:00"/>
        <d v="2025-01-28T00:00:00"/>
        <d v="2025-05-26T00:00:00"/>
        <d v="2025-05-06T00:00:00"/>
        <d v="2025-10-02T00:00:00"/>
        <d v="2025-02-01T00:00:00"/>
        <d v="2025-06-28T00:00:00"/>
        <d v="2025-04-18T00:00:00"/>
        <d v="2025-02-25T00:00:00"/>
        <d v="2025-04-29T00:00:00"/>
        <d v="2025-02-02T00:00:00"/>
        <d v="2025-04-15T00:00:00"/>
        <d v="2025-12-06T00:00:00"/>
        <d v="2025-01-31T00:00:00"/>
        <d v="2025-05-25T00:00:00"/>
        <d v="2025-02-26T00:00:00"/>
        <d v="2025-06-04T00:00:00"/>
        <d v="2025-02-24T00:00:00"/>
        <d v="2025-03-24T00:00:00"/>
        <d v="2025-05-28T00:00:00"/>
        <d v="2025-05-12T00:00:00"/>
        <d v="2025-05-11T00:00:00"/>
        <d v="2025-01-16T00:00:00"/>
        <d v="2025-10-05T00:00:00"/>
        <d v="2025-01-02T00:00:00"/>
        <d v="2025-06-02T00:00:00"/>
        <d v="2025-06-17T00:00:00"/>
        <d v="2025-01-09T00:00:00"/>
        <d v="2025-06-29T00:00:00"/>
        <d v="2025-01-03T00:00:00"/>
        <d v="2025-02-07T00:00:00"/>
        <d v="2025-03-07T00:00:00"/>
        <d v="2025-05-07T00:00:00"/>
        <d v="2025-06-30T00:00:00"/>
        <d v="2025-01-13T00:00:00"/>
        <d v="2025-06-15T00:00:00"/>
        <d v="2025-02-28T00:00:00"/>
        <d v="2025-02-19T00:00:00"/>
        <d v="2025-03-03T00:00:00"/>
        <d v="2025-01-04T00:00:00"/>
        <d v="2025-07-04T00:00:00"/>
        <d v="2025-01-06T00:00:00"/>
        <d v="2025-01-14T00:00:00"/>
        <d v="2025-02-22T00:00:00"/>
        <d v="2025-01-27T00:00:00"/>
        <d v="2025-04-01T00:00:00"/>
        <d v="2025-03-08T00:00:00"/>
        <d v="2025-01-23T00:00:00"/>
        <d v="2025-05-02T00:00:00"/>
        <d v="2025-02-05T00:00:00"/>
        <d v="2025-02-06T00:00:00"/>
        <d v="2025-02-16T00:00:00"/>
        <d v="2025-04-14T00:00:00"/>
        <d v="2025-11-01T00:00:00"/>
        <d v="2025-05-29T00:00:00"/>
        <d v="2025-03-15T00:00:00"/>
        <d v="2025-03-26T00:00:00"/>
        <d v="2025-12-01T00:00:00"/>
        <d v="2025-05-05T00:00:00"/>
        <d v="2025-05-19T00:00:00"/>
        <d v="2025-04-04T00:00:00"/>
        <d v="2025-06-03T00:00:00"/>
        <d v="2025-05-04T00:00:00"/>
        <d v="2025-01-30T00:00:00"/>
        <d v="2025-05-27T00:00:00"/>
        <d v="2025-02-13T00:00:00"/>
        <d v="2025-09-03T00:00:00"/>
        <d v="2025-02-20T00:00:00"/>
        <d v="2025-10-04T00:00:00"/>
        <d v="2025-05-21T00:00:00"/>
        <d v="2025-06-26T00:00:00"/>
        <d v="2025-06-27T00:00:00"/>
        <d v="2025-06-07T00:00:00"/>
        <d v="2025-05-13T00:00:00"/>
      </sharedItems>
      <fieldGroup par="12"/>
    </cacheField>
    <cacheField name="Product" numFmtId="0">
      <sharedItems count="8">
        <s v="Laptop A15"/>
        <s v="Tv 43Q"/>
        <s v="Phone X12"/>
        <s v="Monitor M24"/>
        <s v="Camera C100"/>
        <s v="Tablet T8"/>
        <s v="Speaker S10"/>
        <s v=""/>
      </sharedItems>
    </cacheField>
    <cacheField name="Category" numFmtId="0">
      <sharedItems count="6">
        <s v="Computers"/>
        <s v="Electronics"/>
        <s v="Mobile"/>
        <s v="Peripherals"/>
        <s v="Photography"/>
        <s v="Audio"/>
      </sharedItems>
    </cacheField>
    <cacheField name="Units Sold" numFmtId="0">
      <sharedItems containsSemiMixedTypes="0" containsString="0" containsNumber="1" containsInteger="1" minValue="1" maxValue="20"/>
    </cacheField>
    <cacheField name="Unit Price" numFmtId="164">
      <sharedItems containsSemiMixedTypes="0" containsString="0" containsNumber="1" containsInteger="1" minValue="3500" maxValue="2500000"/>
    </cacheField>
    <cacheField name="Sales Rep" numFmtId="0">
      <sharedItems count="10">
        <s v="Peter Obi"/>
        <s v="Ifeanyi Okafor"/>
        <s v="Fola Balogun"/>
        <s v="Aisha Bello"/>
        <s v="Chinedu Nwosu"/>
        <s v="Mary John"/>
        <s v="Grace Amos"/>
        <s v="Job Austin"/>
        <s v="Aba Joel"/>
        <s v="Praise Odunayo"/>
      </sharedItems>
    </cacheField>
    <cacheField name="Customer" numFmtId="0">
      <sharedItems count="14">
        <s v="Bright Solutions"/>
        <s v="Musa Enterprises"/>
        <s v="Zainab Global"/>
        <s v="Jide Superstores"/>
        <s v="Chika Mart"/>
        <s v="Alpha Retailers"/>
        <s v="Omega Wholesale"/>
        <s v="Kelvin Tech"/>
        <s v="Emeka Traders"/>
        <s v="Tola Ventures"/>
        <s v="Femi Tech"/>
        <s v="Maryam Ltd"/>
        <s v="Tope &amp; Sons"/>
        <s v="Adewale Stores"/>
      </sharedItems>
    </cacheField>
    <cacheField name="Total Sales" numFmtId="164">
      <sharedItems containsSemiMixedTypes="0" containsString="0" containsNumber="1" containsInteger="1" minValue="59500" maxValue="50000000"/>
    </cacheField>
    <cacheField name="Region" numFmtId="0">
      <sharedItems count="4">
        <s v="South"/>
        <s v="East"/>
        <s v="North"/>
        <s v="West"/>
      </sharedItems>
    </cacheField>
    <cacheField name="Quarter(Q)" numFmtId="0">
      <sharedItems count="4">
        <s v="Q2"/>
        <s v="Q3"/>
        <s v="Q1"/>
        <s v="Q4"/>
      </sharedItems>
    </cacheField>
    <cacheField name="Month" numFmtId="0">
      <sharedItems count="12">
        <s v="June"/>
        <s v="August"/>
        <s v="January"/>
        <s v="May"/>
        <s v="October"/>
        <s v="February"/>
        <s v="April"/>
        <s v="December"/>
        <s v="March"/>
        <s v="July"/>
        <s v="November"/>
        <s v="September"/>
      </sharedItems>
    </cacheField>
    <cacheField name="Days (Date)" numFmtId="0" databaseField="0">
      <fieldGroup base="0">
        <rangePr groupBy="days" startDate="2025-01-02T00:00:00" endDate="2025-12-07T00:00:00"/>
        <groupItems count="368">
          <s v="&lt;1/2/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7/2025"/>
        </groupItems>
      </fieldGroup>
    </cacheField>
    <cacheField name="Months (Date)" numFmtId="0" databaseField="0">
      <fieldGroup base="0">
        <rangePr groupBy="months" startDate="2025-01-02T00:00:00" endDate="2025-12-07T00:00:00"/>
        <groupItems count="14">
          <s v="&lt;1/2/2025"/>
          <s v="Jan"/>
          <s v="Feb"/>
          <s v="Mar"/>
          <s v="Apr"/>
          <s v="May"/>
          <s v="Jun"/>
          <s v="Jul"/>
          <s v="Aug"/>
          <s v="Sep"/>
          <s v="Oct"/>
          <s v="Nov"/>
          <s v="Dec"/>
          <s v="&gt;12/7/2025"/>
        </groupItems>
      </fieldGroup>
    </cacheField>
  </cacheFields>
  <extLst>
    <ext xmlns:x14="http://schemas.microsoft.com/office/spreadsheetml/2009/9/main" uri="{725AE2AE-9491-48be-B2B4-4EB974FC3084}">
      <x14:pivotCacheDefinition pivotCacheId="1952198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8"/>
    <n v="2500000"/>
    <x v="0"/>
    <x v="0"/>
    <n v="20000000"/>
    <x v="0"/>
    <x v="0"/>
    <x v="0"/>
  </r>
  <r>
    <x v="1"/>
    <x v="1"/>
    <x v="1"/>
    <n v="6"/>
    <n v="350000"/>
    <x v="1"/>
    <x v="1"/>
    <n v="2100000"/>
    <x v="1"/>
    <x v="1"/>
    <x v="1"/>
  </r>
  <r>
    <x v="2"/>
    <x v="2"/>
    <x v="2"/>
    <n v="14"/>
    <n v="180000"/>
    <x v="2"/>
    <x v="2"/>
    <n v="2520000"/>
    <x v="2"/>
    <x v="2"/>
    <x v="2"/>
  </r>
  <r>
    <x v="3"/>
    <x v="3"/>
    <x v="3"/>
    <n v="18"/>
    <n v="65000"/>
    <x v="1"/>
    <x v="3"/>
    <n v="1170000"/>
    <x v="0"/>
    <x v="0"/>
    <x v="3"/>
  </r>
  <r>
    <x v="4"/>
    <x v="2"/>
    <x v="2"/>
    <n v="5"/>
    <n v="180000"/>
    <x v="0"/>
    <x v="4"/>
    <n v="900000"/>
    <x v="3"/>
    <x v="2"/>
    <x v="2"/>
  </r>
  <r>
    <x v="5"/>
    <x v="2"/>
    <x v="2"/>
    <n v="19"/>
    <n v="157427"/>
    <x v="1"/>
    <x v="1"/>
    <n v="2991113"/>
    <x v="1"/>
    <x v="0"/>
    <x v="3"/>
  </r>
  <r>
    <x v="6"/>
    <x v="1"/>
    <x v="1"/>
    <n v="3"/>
    <n v="350000"/>
    <x v="3"/>
    <x v="4"/>
    <n v="1050000"/>
    <x v="3"/>
    <x v="0"/>
    <x v="3"/>
  </r>
  <r>
    <x v="7"/>
    <x v="3"/>
    <x v="3"/>
    <n v="2"/>
    <n v="65000"/>
    <x v="0"/>
    <x v="1"/>
    <n v="130000"/>
    <x v="3"/>
    <x v="3"/>
    <x v="4"/>
  </r>
  <r>
    <x v="8"/>
    <x v="4"/>
    <x v="4"/>
    <n v="14"/>
    <n v="175000"/>
    <x v="2"/>
    <x v="0"/>
    <n v="2450000"/>
    <x v="1"/>
    <x v="2"/>
    <x v="5"/>
  </r>
  <r>
    <x v="9"/>
    <x v="5"/>
    <x v="2"/>
    <n v="4"/>
    <n v="150000"/>
    <x v="0"/>
    <x v="5"/>
    <n v="600000"/>
    <x v="3"/>
    <x v="0"/>
    <x v="0"/>
  </r>
  <r>
    <x v="10"/>
    <x v="5"/>
    <x v="2"/>
    <n v="20"/>
    <n v="150000"/>
    <x v="2"/>
    <x v="1"/>
    <n v="3000000"/>
    <x v="0"/>
    <x v="0"/>
    <x v="6"/>
  </r>
  <r>
    <x v="11"/>
    <x v="6"/>
    <x v="5"/>
    <n v="6"/>
    <n v="85000"/>
    <x v="3"/>
    <x v="6"/>
    <n v="510000"/>
    <x v="2"/>
    <x v="2"/>
    <x v="5"/>
  </r>
  <r>
    <x v="12"/>
    <x v="5"/>
    <x v="2"/>
    <n v="1"/>
    <n v="150000"/>
    <x v="3"/>
    <x v="7"/>
    <n v="150000"/>
    <x v="3"/>
    <x v="0"/>
    <x v="6"/>
  </r>
  <r>
    <x v="13"/>
    <x v="1"/>
    <x v="1"/>
    <n v="18"/>
    <n v="35000"/>
    <x v="4"/>
    <x v="8"/>
    <n v="630000"/>
    <x v="1"/>
    <x v="2"/>
    <x v="5"/>
  </r>
  <r>
    <x v="14"/>
    <x v="6"/>
    <x v="5"/>
    <n v="2"/>
    <n v="85000"/>
    <x v="1"/>
    <x v="0"/>
    <n v="170000"/>
    <x v="0"/>
    <x v="0"/>
    <x v="6"/>
  </r>
  <r>
    <x v="15"/>
    <x v="3"/>
    <x v="3"/>
    <n v="11"/>
    <n v="62035"/>
    <x v="4"/>
    <x v="9"/>
    <n v="682385"/>
    <x v="1"/>
    <x v="3"/>
    <x v="7"/>
  </r>
  <r>
    <x v="16"/>
    <x v="4"/>
    <x v="4"/>
    <n v="10"/>
    <n v="175000"/>
    <x v="2"/>
    <x v="6"/>
    <n v="1750000"/>
    <x v="1"/>
    <x v="2"/>
    <x v="2"/>
  </r>
  <r>
    <x v="13"/>
    <x v="5"/>
    <x v="2"/>
    <n v="4"/>
    <n v="150000"/>
    <x v="5"/>
    <x v="3"/>
    <n v="600000"/>
    <x v="3"/>
    <x v="2"/>
    <x v="5"/>
  </r>
  <r>
    <x v="17"/>
    <x v="4"/>
    <x v="4"/>
    <n v="3"/>
    <n v="175000"/>
    <x v="6"/>
    <x v="10"/>
    <n v="525000"/>
    <x v="3"/>
    <x v="0"/>
    <x v="3"/>
  </r>
  <r>
    <x v="18"/>
    <x v="4"/>
    <x v="4"/>
    <n v="5"/>
    <n v="175000"/>
    <x v="4"/>
    <x v="10"/>
    <n v="875000"/>
    <x v="2"/>
    <x v="2"/>
    <x v="5"/>
  </r>
  <r>
    <x v="19"/>
    <x v="0"/>
    <x v="0"/>
    <n v="20"/>
    <n v="250000"/>
    <x v="6"/>
    <x v="1"/>
    <n v="5000000"/>
    <x v="1"/>
    <x v="0"/>
    <x v="0"/>
  </r>
  <r>
    <x v="20"/>
    <x v="4"/>
    <x v="4"/>
    <n v="2"/>
    <n v="175000"/>
    <x v="0"/>
    <x v="8"/>
    <n v="350000"/>
    <x v="1"/>
    <x v="2"/>
    <x v="5"/>
  </r>
  <r>
    <x v="21"/>
    <x v="5"/>
    <x v="2"/>
    <n v="20"/>
    <n v="150000"/>
    <x v="2"/>
    <x v="11"/>
    <n v="3000000"/>
    <x v="1"/>
    <x v="2"/>
    <x v="8"/>
  </r>
  <r>
    <x v="22"/>
    <x v="5"/>
    <x v="2"/>
    <n v="8"/>
    <n v="150000"/>
    <x v="1"/>
    <x v="6"/>
    <n v="1200000"/>
    <x v="2"/>
    <x v="0"/>
    <x v="3"/>
  </r>
  <r>
    <x v="23"/>
    <x v="0"/>
    <x v="0"/>
    <n v="19"/>
    <n v="250000"/>
    <x v="6"/>
    <x v="10"/>
    <n v="4750000"/>
    <x v="3"/>
    <x v="0"/>
    <x v="3"/>
  </r>
  <r>
    <x v="24"/>
    <x v="4"/>
    <x v="4"/>
    <n v="12"/>
    <n v="175000"/>
    <x v="4"/>
    <x v="6"/>
    <n v="2100000"/>
    <x v="1"/>
    <x v="0"/>
    <x v="3"/>
  </r>
  <r>
    <x v="25"/>
    <x v="6"/>
    <x v="5"/>
    <n v="11"/>
    <n v="85000"/>
    <x v="6"/>
    <x v="10"/>
    <n v="935000"/>
    <x v="2"/>
    <x v="2"/>
    <x v="2"/>
  </r>
  <r>
    <x v="26"/>
    <x v="3"/>
    <x v="3"/>
    <n v="17"/>
    <n v="65000"/>
    <x v="4"/>
    <x v="7"/>
    <n v="1105000"/>
    <x v="2"/>
    <x v="3"/>
    <x v="4"/>
  </r>
  <r>
    <x v="27"/>
    <x v="1"/>
    <x v="1"/>
    <n v="15"/>
    <n v="350000"/>
    <x v="7"/>
    <x v="2"/>
    <n v="5250000"/>
    <x v="0"/>
    <x v="2"/>
    <x v="2"/>
  </r>
  <r>
    <x v="28"/>
    <x v="1"/>
    <x v="1"/>
    <n v="8"/>
    <n v="350000"/>
    <x v="0"/>
    <x v="10"/>
    <n v="2800000"/>
    <x v="3"/>
    <x v="0"/>
    <x v="0"/>
  </r>
  <r>
    <x v="29"/>
    <x v="1"/>
    <x v="1"/>
    <n v="14"/>
    <n v="350000"/>
    <x v="4"/>
    <x v="12"/>
    <n v="4900000"/>
    <x v="3"/>
    <x v="0"/>
    <x v="0"/>
  </r>
  <r>
    <x v="30"/>
    <x v="5"/>
    <x v="2"/>
    <n v="12"/>
    <n v="150000"/>
    <x v="2"/>
    <x v="5"/>
    <n v="1800000"/>
    <x v="1"/>
    <x v="2"/>
    <x v="2"/>
  </r>
  <r>
    <x v="31"/>
    <x v="4"/>
    <x v="4"/>
    <n v="8"/>
    <n v="175000"/>
    <x v="0"/>
    <x v="5"/>
    <n v="1400000"/>
    <x v="2"/>
    <x v="0"/>
    <x v="0"/>
  </r>
  <r>
    <x v="32"/>
    <x v="5"/>
    <x v="2"/>
    <n v="6"/>
    <n v="150000"/>
    <x v="0"/>
    <x v="10"/>
    <n v="900000"/>
    <x v="0"/>
    <x v="2"/>
    <x v="2"/>
  </r>
  <r>
    <x v="28"/>
    <x v="0"/>
    <x v="0"/>
    <n v="20"/>
    <n v="2500000"/>
    <x v="0"/>
    <x v="6"/>
    <n v="50000000"/>
    <x v="3"/>
    <x v="0"/>
    <x v="0"/>
  </r>
  <r>
    <x v="19"/>
    <x v="3"/>
    <x v="3"/>
    <n v="12"/>
    <n v="65000"/>
    <x v="0"/>
    <x v="11"/>
    <n v="780000"/>
    <x v="0"/>
    <x v="0"/>
    <x v="0"/>
  </r>
  <r>
    <x v="33"/>
    <x v="3"/>
    <x v="3"/>
    <n v="4"/>
    <n v="73740"/>
    <x v="5"/>
    <x v="12"/>
    <n v="294960"/>
    <x v="0"/>
    <x v="2"/>
    <x v="5"/>
  </r>
  <r>
    <x v="34"/>
    <x v="4"/>
    <x v="4"/>
    <n v="18"/>
    <n v="175000"/>
    <x v="6"/>
    <x v="0"/>
    <n v="3150000"/>
    <x v="1"/>
    <x v="2"/>
    <x v="8"/>
  </r>
  <r>
    <x v="35"/>
    <x v="2"/>
    <x v="2"/>
    <n v="10"/>
    <n v="180000"/>
    <x v="5"/>
    <x v="4"/>
    <n v="1800000"/>
    <x v="2"/>
    <x v="0"/>
    <x v="3"/>
  </r>
  <r>
    <x v="36"/>
    <x v="7"/>
    <x v="3"/>
    <n v="10"/>
    <n v="65000"/>
    <x v="8"/>
    <x v="1"/>
    <n v="650000"/>
    <x v="1"/>
    <x v="0"/>
    <x v="0"/>
  </r>
  <r>
    <x v="11"/>
    <x v="5"/>
    <x v="2"/>
    <n v="3"/>
    <n v="150000"/>
    <x v="5"/>
    <x v="12"/>
    <n v="450000"/>
    <x v="2"/>
    <x v="2"/>
    <x v="5"/>
  </r>
  <r>
    <x v="37"/>
    <x v="2"/>
    <x v="2"/>
    <n v="8"/>
    <n v="180000"/>
    <x v="3"/>
    <x v="6"/>
    <n v="1440000"/>
    <x v="0"/>
    <x v="2"/>
    <x v="2"/>
  </r>
  <r>
    <x v="38"/>
    <x v="0"/>
    <x v="0"/>
    <n v="3"/>
    <n v="250000"/>
    <x v="5"/>
    <x v="4"/>
    <n v="750000"/>
    <x v="0"/>
    <x v="0"/>
    <x v="0"/>
  </r>
  <r>
    <x v="39"/>
    <x v="6"/>
    <x v="5"/>
    <n v="18"/>
    <n v="85000"/>
    <x v="1"/>
    <x v="5"/>
    <n v="1530000"/>
    <x v="1"/>
    <x v="2"/>
    <x v="5"/>
  </r>
  <r>
    <x v="40"/>
    <x v="5"/>
    <x v="2"/>
    <n v="9"/>
    <n v="150000"/>
    <x v="5"/>
    <x v="7"/>
    <n v="1350000"/>
    <x v="3"/>
    <x v="2"/>
    <x v="5"/>
  </r>
  <r>
    <x v="41"/>
    <x v="5"/>
    <x v="2"/>
    <n v="18"/>
    <n v="150000"/>
    <x v="2"/>
    <x v="5"/>
    <n v="2700000"/>
    <x v="1"/>
    <x v="2"/>
    <x v="8"/>
  </r>
  <r>
    <x v="42"/>
    <x v="5"/>
    <x v="2"/>
    <n v="11"/>
    <n v="150000"/>
    <x v="5"/>
    <x v="4"/>
    <n v="1650000"/>
    <x v="3"/>
    <x v="2"/>
    <x v="2"/>
  </r>
  <r>
    <x v="43"/>
    <x v="1"/>
    <x v="1"/>
    <n v="4"/>
    <n v="350000"/>
    <x v="6"/>
    <x v="3"/>
    <n v="1400000"/>
    <x v="0"/>
    <x v="1"/>
    <x v="9"/>
  </r>
  <r>
    <x v="18"/>
    <x v="5"/>
    <x v="2"/>
    <n v="19"/>
    <n v="150000"/>
    <x v="9"/>
    <x v="7"/>
    <n v="2850000"/>
    <x v="0"/>
    <x v="2"/>
    <x v="5"/>
  </r>
  <r>
    <x v="44"/>
    <x v="6"/>
    <x v="5"/>
    <n v="7"/>
    <n v="85000"/>
    <x v="3"/>
    <x v="0"/>
    <n v="595000"/>
    <x v="1"/>
    <x v="2"/>
    <x v="2"/>
  </r>
  <r>
    <x v="45"/>
    <x v="3"/>
    <x v="3"/>
    <n v="13"/>
    <n v="57912"/>
    <x v="2"/>
    <x v="10"/>
    <n v="752856"/>
    <x v="3"/>
    <x v="2"/>
    <x v="2"/>
  </r>
  <r>
    <x v="46"/>
    <x v="3"/>
    <x v="3"/>
    <n v="18"/>
    <n v="650000"/>
    <x v="6"/>
    <x v="3"/>
    <n v="11700000"/>
    <x v="1"/>
    <x v="2"/>
    <x v="5"/>
  </r>
  <r>
    <x v="21"/>
    <x v="3"/>
    <x v="3"/>
    <n v="5"/>
    <n v="65000"/>
    <x v="3"/>
    <x v="7"/>
    <n v="325000"/>
    <x v="3"/>
    <x v="2"/>
    <x v="8"/>
  </r>
  <r>
    <x v="47"/>
    <x v="1"/>
    <x v="1"/>
    <n v="13"/>
    <n v="350000"/>
    <x v="4"/>
    <x v="10"/>
    <n v="4550000"/>
    <x v="0"/>
    <x v="2"/>
    <x v="2"/>
  </r>
  <r>
    <x v="48"/>
    <x v="1"/>
    <x v="1"/>
    <n v="19"/>
    <n v="350000"/>
    <x v="1"/>
    <x v="3"/>
    <n v="6650000"/>
    <x v="3"/>
    <x v="0"/>
    <x v="6"/>
  </r>
  <r>
    <x v="49"/>
    <x v="2"/>
    <x v="2"/>
    <n v="9"/>
    <n v="180000"/>
    <x v="3"/>
    <x v="13"/>
    <n v="1620000"/>
    <x v="2"/>
    <x v="2"/>
    <x v="8"/>
  </r>
  <r>
    <x v="50"/>
    <x v="5"/>
    <x v="2"/>
    <n v="10"/>
    <n v="150000"/>
    <x v="4"/>
    <x v="11"/>
    <n v="1500000"/>
    <x v="1"/>
    <x v="2"/>
    <x v="2"/>
  </r>
  <r>
    <x v="25"/>
    <x v="6"/>
    <x v="5"/>
    <n v="10"/>
    <n v="85000"/>
    <x v="3"/>
    <x v="7"/>
    <n v="850000"/>
    <x v="1"/>
    <x v="2"/>
    <x v="2"/>
  </r>
  <r>
    <x v="51"/>
    <x v="0"/>
    <x v="0"/>
    <n v="5"/>
    <n v="25000"/>
    <x v="3"/>
    <x v="2"/>
    <n v="125000"/>
    <x v="0"/>
    <x v="0"/>
    <x v="3"/>
  </r>
  <r>
    <x v="17"/>
    <x v="5"/>
    <x v="2"/>
    <n v="1"/>
    <n v="150000"/>
    <x v="6"/>
    <x v="1"/>
    <n v="150000"/>
    <x v="1"/>
    <x v="0"/>
    <x v="3"/>
  </r>
  <r>
    <x v="44"/>
    <x v="5"/>
    <x v="2"/>
    <n v="20"/>
    <n v="150000"/>
    <x v="3"/>
    <x v="8"/>
    <n v="3000000"/>
    <x v="0"/>
    <x v="2"/>
    <x v="2"/>
  </r>
  <r>
    <x v="28"/>
    <x v="1"/>
    <x v="1"/>
    <n v="11"/>
    <n v="350000"/>
    <x v="4"/>
    <x v="9"/>
    <n v="3850000"/>
    <x v="0"/>
    <x v="0"/>
    <x v="0"/>
  </r>
  <r>
    <x v="45"/>
    <x v="0"/>
    <x v="0"/>
    <n v="14"/>
    <n v="250000"/>
    <x v="4"/>
    <x v="4"/>
    <n v="3500000"/>
    <x v="1"/>
    <x v="2"/>
    <x v="2"/>
  </r>
  <r>
    <x v="52"/>
    <x v="5"/>
    <x v="2"/>
    <n v="3"/>
    <n v="150000"/>
    <x v="3"/>
    <x v="0"/>
    <n v="450000"/>
    <x v="3"/>
    <x v="2"/>
    <x v="5"/>
  </r>
  <r>
    <x v="29"/>
    <x v="6"/>
    <x v="5"/>
    <n v="6"/>
    <n v="85000"/>
    <x v="2"/>
    <x v="8"/>
    <n v="510000"/>
    <x v="1"/>
    <x v="0"/>
    <x v="0"/>
  </r>
  <r>
    <x v="37"/>
    <x v="1"/>
    <x v="1"/>
    <n v="15"/>
    <n v="350000"/>
    <x v="4"/>
    <x v="9"/>
    <n v="5250000"/>
    <x v="3"/>
    <x v="2"/>
    <x v="2"/>
  </r>
  <r>
    <x v="53"/>
    <x v="5"/>
    <x v="2"/>
    <n v="16"/>
    <n v="150000"/>
    <x v="1"/>
    <x v="4"/>
    <n v="2400000"/>
    <x v="2"/>
    <x v="2"/>
    <x v="5"/>
  </r>
  <r>
    <x v="54"/>
    <x v="4"/>
    <x v="4"/>
    <n v="8"/>
    <n v="175000"/>
    <x v="0"/>
    <x v="0"/>
    <n v="1400000"/>
    <x v="1"/>
    <x v="2"/>
    <x v="5"/>
  </r>
  <r>
    <x v="55"/>
    <x v="6"/>
    <x v="5"/>
    <n v="2"/>
    <n v="85000"/>
    <x v="4"/>
    <x v="7"/>
    <n v="170000"/>
    <x v="0"/>
    <x v="0"/>
    <x v="6"/>
  </r>
  <r>
    <x v="44"/>
    <x v="0"/>
    <x v="0"/>
    <n v="13"/>
    <n v="250000"/>
    <x v="6"/>
    <x v="4"/>
    <n v="3250000"/>
    <x v="2"/>
    <x v="2"/>
    <x v="2"/>
  </r>
  <r>
    <x v="56"/>
    <x v="3"/>
    <x v="3"/>
    <n v="11"/>
    <n v="65000"/>
    <x v="4"/>
    <x v="9"/>
    <n v="715000"/>
    <x v="3"/>
    <x v="3"/>
    <x v="10"/>
  </r>
  <r>
    <x v="29"/>
    <x v="1"/>
    <x v="1"/>
    <n v="17"/>
    <n v="3500"/>
    <x v="4"/>
    <x v="6"/>
    <n v="59500"/>
    <x v="0"/>
    <x v="0"/>
    <x v="0"/>
  </r>
  <r>
    <x v="45"/>
    <x v="3"/>
    <x v="3"/>
    <n v="18"/>
    <n v="65000"/>
    <x v="4"/>
    <x v="10"/>
    <n v="1170000"/>
    <x v="3"/>
    <x v="2"/>
    <x v="2"/>
  </r>
  <r>
    <x v="57"/>
    <x v="2"/>
    <x v="2"/>
    <n v="13"/>
    <n v="180000"/>
    <x v="6"/>
    <x v="2"/>
    <n v="2340000"/>
    <x v="1"/>
    <x v="0"/>
    <x v="3"/>
  </r>
  <r>
    <x v="58"/>
    <x v="4"/>
    <x v="4"/>
    <n v="10"/>
    <n v="175000"/>
    <x v="3"/>
    <x v="3"/>
    <n v="1750000"/>
    <x v="0"/>
    <x v="2"/>
    <x v="8"/>
  </r>
  <r>
    <x v="59"/>
    <x v="6"/>
    <x v="5"/>
    <n v="5"/>
    <n v="85000"/>
    <x v="6"/>
    <x v="13"/>
    <n v="425000"/>
    <x v="1"/>
    <x v="2"/>
    <x v="8"/>
  </r>
  <r>
    <x v="60"/>
    <x v="1"/>
    <x v="1"/>
    <n v="17"/>
    <n v="350000"/>
    <x v="5"/>
    <x v="8"/>
    <n v="5950000"/>
    <x v="2"/>
    <x v="3"/>
    <x v="7"/>
  </r>
  <r>
    <x v="50"/>
    <x v="1"/>
    <x v="1"/>
    <n v="13"/>
    <n v="350000"/>
    <x v="2"/>
    <x v="8"/>
    <n v="4550000"/>
    <x v="2"/>
    <x v="2"/>
    <x v="2"/>
  </r>
  <r>
    <x v="61"/>
    <x v="1"/>
    <x v="1"/>
    <n v="8"/>
    <n v="350000"/>
    <x v="1"/>
    <x v="11"/>
    <n v="2800000"/>
    <x v="2"/>
    <x v="0"/>
    <x v="3"/>
  </r>
  <r>
    <x v="62"/>
    <x v="6"/>
    <x v="5"/>
    <n v="13"/>
    <n v="85000"/>
    <x v="3"/>
    <x v="11"/>
    <n v="1105000"/>
    <x v="0"/>
    <x v="0"/>
    <x v="3"/>
  </r>
  <r>
    <x v="63"/>
    <x v="5"/>
    <x v="2"/>
    <n v="17"/>
    <n v="150000"/>
    <x v="2"/>
    <x v="1"/>
    <n v="2550000"/>
    <x v="1"/>
    <x v="0"/>
    <x v="6"/>
  </r>
  <r>
    <x v="18"/>
    <x v="3"/>
    <x v="3"/>
    <n v="19"/>
    <n v="65000"/>
    <x v="6"/>
    <x v="10"/>
    <n v="1235000"/>
    <x v="0"/>
    <x v="2"/>
    <x v="5"/>
  </r>
  <r>
    <x v="64"/>
    <x v="5"/>
    <x v="2"/>
    <n v="1"/>
    <n v="150000"/>
    <x v="6"/>
    <x v="13"/>
    <n v="150000"/>
    <x v="2"/>
    <x v="0"/>
    <x v="0"/>
  </r>
  <r>
    <x v="65"/>
    <x v="0"/>
    <x v="0"/>
    <n v="13"/>
    <n v="250000"/>
    <x v="4"/>
    <x v="11"/>
    <n v="3250000"/>
    <x v="1"/>
    <x v="0"/>
    <x v="3"/>
  </r>
  <r>
    <x v="66"/>
    <x v="3"/>
    <x v="3"/>
    <n v="18"/>
    <n v="65000"/>
    <x v="4"/>
    <x v="12"/>
    <n v="1170000"/>
    <x v="1"/>
    <x v="2"/>
    <x v="2"/>
  </r>
  <r>
    <x v="16"/>
    <x v="0"/>
    <x v="0"/>
    <n v="20"/>
    <n v="250000"/>
    <x v="3"/>
    <x v="6"/>
    <n v="5000000"/>
    <x v="2"/>
    <x v="2"/>
    <x v="2"/>
  </r>
  <r>
    <x v="67"/>
    <x v="2"/>
    <x v="2"/>
    <n v="4"/>
    <n v="180000"/>
    <x v="3"/>
    <x v="1"/>
    <n v="720000"/>
    <x v="1"/>
    <x v="0"/>
    <x v="3"/>
  </r>
  <r>
    <x v="1"/>
    <x v="5"/>
    <x v="2"/>
    <n v="5"/>
    <n v="150000"/>
    <x v="4"/>
    <x v="5"/>
    <n v="750000"/>
    <x v="0"/>
    <x v="1"/>
    <x v="1"/>
  </r>
  <r>
    <x v="68"/>
    <x v="0"/>
    <x v="0"/>
    <n v="11"/>
    <n v="2500000"/>
    <x v="2"/>
    <x v="6"/>
    <n v="27500000"/>
    <x v="3"/>
    <x v="2"/>
    <x v="5"/>
  </r>
  <r>
    <x v="69"/>
    <x v="0"/>
    <x v="0"/>
    <n v="20"/>
    <n v="250000"/>
    <x v="1"/>
    <x v="10"/>
    <n v="5000000"/>
    <x v="1"/>
    <x v="1"/>
    <x v="11"/>
  </r>
  <r>
    <x v="70"/>
    <x v="6"/>
    <x v="5"/>
    <n v="7"/>
    <n v="89233"/>
    <x v="2"/>
    <x v="10"/>
    <n v="624631"/>
    <x v="3"/>
    <x v="2"/>
    <x v="5"/>
  </r>
  <r>
    <x v="40"/>
    <x v="0"/>
    <x v="0"/>
    <n v="5"/>
    <n v="250000"/>
    <x v="5"/>
    <x v="12"/>
    <n v="1250000"/>
    <x v="1"/>
    <x v="2"/>
    <x v="5"/>
  </r>
  <r>
    <x v="71"/>
    <x v="4"/>
    <x v="4"/>
    <n v="19"/>
    <n v="175000"/>
    <x v="5"/>
    <x v="7"/>
    <n v="3325000"/>
    <x v="1"/>
    <x v="3"/>
    <x v="4"/>
  </r>
  <r>
    <x v="72"/>
    <x v="1"/>
    <x v="1"/>
    <n v="14"/>
    <n v="350000"/>
    <x v="6"/>
    <x v="1"/>
    <n v="4900000"/>
    <x v="1"/>
    <x v="0"/>
    <x v="3"/>
  </r>
  <r>
    <x v="73"/>
    <x v="4"/>
    <x v="4"/>
    <n v="20"/>
    <n v="175000"/>
    <x v="5"/>
    <x v="0"/>
    <n v="3500000"/>
    <x v="1"/>
    <x v="0"/>
    <x v="0"/>
  </r>
  <r>
    <x v="70"/>
    <x v="6"/>
    <x v="5"/>
    <n v="18"/>
    <n v="85000"/>
    <x v="0"/>
    <x v="9"/>
    <n v="1530000"/>
    <x v="0"/>
    <x v="2"/>
    <x v="5"/>
  </r>
  <r>
    <x v="74"/>
    <x v="4"/>
    <x v="4"/>
    <n v="17"/>
    <n v="175000"/>
    <x v="1"/>
    <x v="8"/>
    <n v="2975000"/>
    <x v="2"/>
    <x v="0"/>
    <x v="0"/>
  </r>
  <r>
    <x v="52"/>
    <x v="0"/>
    <x v="0"/>
    <n v="20"/>
    <n v="250000"/>
    <x v="2"/>
    <x v="1"/>
    <n v="5000000"/>
    <x v="0"/>
    <x v="2"/>
    <x v="5"/>
  </r>
  <r>
    <x v="75"/>
    <x v="1"/>
    <x v="1"/>
    <n v="20"/>
    <n v="350000"/>
    <x v="0"/>
    <x v="10"/>
    <n v="7000000"/>
    <x v="0"/>
    <x v="0"/>
    <x v="0"/>
  </r>
  <r>
    <x v="76"/>
    <x v="5"/>
    <x v="2"/>
    <n v="18"/>
    <n v="150000"/>
    <x v="6"/>
    <x v="5"/>
    <n v="2700000"/>
    <x v="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CB12A3-C5AB-4116-8178-D0E27BBBFC50}" name="Sales by Salespers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person">
  <location ref="A6:B17" firstHeaderRow="1" firstDataRow="1" firstDataCol="1"/>
  <pivotFields count="13">
    <pivotField showAll="0">
      <items count="78">
        <item x="27"/>
        <item x="32"/>
        <item x="42"/>
        <item x="44"/>
        <item x="30"/>
        <item x="37"/>
        <item x="45"/>
        <item x="25"/>
        <item x="50"/>
        <item x="47"/>
        <item x="4"/>
        <item x="2"/>
        <item x="66"/>
        <item x="16"/>
        <item x="8"/>
        <item x="13"/>
        <item x="52"/>
        <item x="53"/>
        <item x="33"/>
        <item x="68"/>
        <item x="54"/>
        <item x="40"/>
        <item x="70"/>
        <item x="46"/>
        <item x="20"/>
        <item x="11"/>
        <item x="18"/>
        <item x="39"/>
        <item x="41"/>
        <item x="34"/>
        <item x="49"/>
        <item x="58"/>
        <item x="21"/>
        <item x="59"/>
        <item x="48"/>
        <item x="63"/>
        <item x="55"/>
        <item x="14"/>
        <item x="10"/>
        <item x="12"/>
        <item x="51"/>
        <item x="65"/>
        <item x="61"/>
        <item x="6"/>
        <item x="35"/>
        <item x="24"/>
        <item x="23"/>
        <item x="76"/>
        <item x="3"/>
        <item x="62"/>
        <item x="72"/>
        <item x="17"/>
        <item x="5"/>
        <item x="67"/>
        <item x="22"/>
        <item x="57"/>
        <item x="28"/>
        <item x="64"/>
        <item x="19"/>
        <item x="75"/>
        <item x="0"/>
        <item x="38"/>
        <item x="29"/>
        <item x="73"/>
        <item x="74"/>
        <item x="9"/>
        <item x="31"/>
        <item x="36"/>
        <item x="43"/>
        <item x="1"/>
        <item x="69"/>
        <item x="7"/>
        <item x="71"/>
        <item x="26"/>
        <item x="56"/>
        <item x="60"/>
        <item x="15"/>
        <item t="default"/>
      </items>
    </pivotField>
    <pivotField showAll="0"/>
    <pivotField showAll="0">
      <items count="7">
        <item x="5"/>
        <item x="0"/>
        <item x="1"/>
        <item x="2"/>
        <item x="3"/>
        <item x="4"/>
        <item t="default"/>
      </items>
    </pivotField>
    <pivotField showAll="0"/>
    <pivotField numFmtId="164" showAll="0"/>
    <pivotField axis="axisRow" showAll="0" sortType="ascending">
      <items count="11">
        <item x="8"/>
        <item x="3"/>
        <item x="4"/>
        <item x="2"/>
        <item x="6"/>
        <item x="1"/>
        <item x="7"/>
        <item x="5"/>
        <item x="0"/>
        <item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items count="5">
        <item x="1"/>
        <item x="2"/>
        <item x="0"/>
        <item x="3"/>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i>
    <i>
      <x v="9"/>
    </i>
    <i>
      <x v="6"/>
    </i>
    <i>
      <x v="1"/>
    </i>
    <i>
      <x v="7"/>
    </i>
    <i>
      <x v="5"/>
    </i>
    <i>
      <x v="2"/>
    </i>
    <i>
      <x v="4"/>
    </i>
    <i>
      <x v="3"/>
    </i>
    <i>
      <x v="8"/>
    </i>
    <i t="grand">
      <x/>
    </i>
  </rowItems>
  <colItems count="1">
    <i/>
  </colItems>
  <dataFields count="1">
    <dataField name="Sales Rep by Sales" fld="7" baseField="5" baseItem="9"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18C564-8C89-48D0-BC96-8BD370976969}" name="Sales by Product and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Category">
  <location ref="P6:Q23" firstHeaderRow="1" firstDataRow="1" firstDataCol="1"/>
  <pivotFields count="13">
    <pivotField showAll="0">
      <items count="78">
        <item x="27"/>
        <item x="32"/>
        <item x="42"/>
        <item x="44"/>
        <item x="30"/>
        <item x="37"/>
        <item x="45"/>
        <item x="25"/>
        <item x="50"/>
        <item x="47"/>
        <item x="4"/>
        <item x="2"/>
        <item x="66"/>
        <item x="16"/>
        <item x="8"/>
        <item x="13"/>
        <item x="52"/>
        <item x="53"/>
        <item x="33"/>
        <item x="68"/>
        <item x="54"/>
        <item x="40"/>
        <item x="70"/>
        <item x="46"/>
        <item x="20"/>
        <item x="11"/>
        <item x="18"/>
        <item x="39"/>
        <item x="41"/>
        <item x="34"/>
        <item x="49"/>
        <item x="58"/>
        <item x="21"/>
        <item x="59"/>
        <item x="48"/>
        <item x="63"/>
        <item x="55"/>
        <item x="14"/>
        <item x="10"/>
        <item x="12"/>
        <item x="51"/>
        <item x="65"/>
        <item x="61"/>
        <item x="6"/>
        <item x="35"/>
        <item x="24"/>
        <item x="23"/>
        <item x="76"/>
        <item x="3"/>
        <item x="62"/>
        <item x="72"/>
        <item x="17"/>
        <item x="5"/>
        <item x="67"/>
        <item x="22"/>
        <item x="57"/>
        <item x="28"/>
        <item x="64"/>
        <item x="19"/>
        <item x="75"/>
        <item x="0"/>
        <item x="38"/>
        <item x="29"/>
        <item x="73"/>
        <item x="74"/>
        <item x="9"/>
        <item x="31"/>
        <item x="36"/>
        <item x="43"/>
        <item x="1"/>
        <item x="69"/>
        <item x="7"/>
        <item x="71"/>
        <item x="26"/>
        <item x="56"/>
        <item x="60"/>
        <item x="15"/>
        <item t="default"/>
      </items>
    </pivotField>
    <pivotField axis="axisRow" showAll="0">
      <items count="9">
        <item x="7"/>
        <item x="4"/>
        <item x="0"/>
        <item x="3"/>
        <item x="2"/>
        <item x="6"/>
        <item x="5"/>
        <item x="1"/>
        <item t="default"/>
      </items>
    </pivotField>
    <pivotField axis="axisRow" showAll="0">
      <items count="7">
        <item x="5"/>
        <item x="0"/>
        <item x="1"/>
        <item x="2"/>
        <item x="3"/>
        <item x="4"/>
        <item t="default"/>
      </items>
    </pivotField>
    <pivotField showAll="0"/>
    <pivotField numFmtId="164" showAll="0"/>
    <pivotField showAll="0">
      <items count="11">
        <item x="8"/>
        <item x="3"/>
        <item x="4"/>
        <item x="2"/>
        <item x="6"/>
        <item x="1"/>
        <item x="7"/>
        <item x="5"/>
        <item x="0"/>
        <item x="9"/>
        <item t="default"/>
      </items>
    </pivotField>
    <pivotField showAll="0">
      <items count="15">
        <item x="13"/>
        <item x="5"/>
        <item x="0"/>
        <item x="4"/>
        <item x="8"/>
        <item x="10"/>
        <item x="3"/>
        <item x="7"/>
        <item x="11"/>
        <item x="1"/>
        <item x="6"/>
        <item x="9"/>
        <item x="12"/>
        <item x="2"/>
        <item t="default"/>
      </items>
    </pivotField>
    <pivotField dataField="1" numFmtId="164" showAll="0"/>
    <pivotField showAll="0">
      <items count="5">
        <item x="1"/>
        <item x="2"/>
        <item x="0"/>
        <item x="3"/>
        <item t="default"/>
      </items>
    </pivotField>
    <pivotField showAll="0">
      <items count="5">
        <item x="2"/>
        <item x="0"/>
        <item x="1"/>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
    <field x="2"/>
  </rowFields>
  <rowItems count="17">
    <i>
      <x/>
    </i>
    <i r="1">
      <x v="4"/>
    </i>
    <i>
      <x v="1"/>
    </i>
    <i r="1">
      <x v="5"/>
    </i>
    <i>
      <x v="2"/>
    </i>
    <i r="1">
      <x v="1"/>
    </i>
    <i>
      <x v="3"/>
    </i>
    <i r="1">
      <x v="4"/>
    </i>
    <i>
      <x v="4"/>
    </i>
    <i r="1">
      <x v="3"/>
    </i>
    <i>
      <x v="5"/>
    </i>
    <i r="1">
      <x/>
    </i>
    <i>
      <x v="6"/>
    </i>
    <i r="1">
      <x v="3"/>
    </i>
    <i>
      <x v="7"/>
    </i>
    <i r="1">
      <x v="2"/>
    </i>
    <i t="grand">
      <x/>
    </i>
  </rowItems>
  <colItems count="1">
    <i/>
  </colItems>
  <dataFields count="1">
    <dataField name="Sum of Total Sales" fld="7" baseField="0" baseItem="0" numFmtId="164"/>
  </dataFields>
  <chartFormats count="1">
    <chartFormat chart="3"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5F14F4-7873-4487-9A23-29D85000EE4C}" name="Sales by Quart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Quarter">
  <location ref="M6:N11" firstHeaderRow="1" firstDataRow="1" firstDataCol="1"/>
  <pivotFields count="13">
    <pivotField showAll="0">
      <items count="78">
        <item x="27"/>
        <item x="32"/>
        <item x="42"/>
        <item x="44"/>
        <item x="30"/>
        <item x="37"/>
        <item x="45"/>
        <item x="25"/>
        <item x="50"/>
        <item x="47"/>
        <item x="4"/>
        <item x="2"/>
        <item x="66"/>
        <item x="16"/>
        <item x="8"/>
        <item x="13"/>
        <item x="52"/>
        <item x="53"/>
        <item x="33"/>
        <item x="68"/>
        <item x="54"/>
        <item x="40"/>
        <item x="70"/>
        <item x="46"/>
        <item x="20"/>
        <item x="11"/>
        <item x="18"/>
        <item x="39"/>
        <item x="41"/>
        <item x="34"/>
        <item x="49"/>
        <item x="58"/>
        <item x="21"/>
        <item x="59"/>
        <item x="48"/>
        <item x="63"/>
        <item x="55"/>
        <item x="14"/>
        <item x="10"/>
        <item x="12"/>
        <item x="51"/>
        <item x="65"/>
        <item x="61"/>
        <item x="6"/>
        <item x="35"/>
        <item x="24"/>
        <item x="23"/>
        <item x="76"/>
        <item x="3"/>
        <item x="62"/>
        <item x="72"/>
        <item x="17"/>
        <item x="5"/>
        <item x="67"/>
        <item x="22"/>
        <item x="57"/>
        <item x="28"/>
        <item x="64"/>
        <item x="19"/>
        <item x="75"/>
        <item x="0"/>
        <item x="38"/>
        <item x="29"/>
        <item x="73"/>
        <item x="74"/>
        <item x="9"/>
        <item x="31"/>
        <item x="36"/>
        <item x="43"/>
        <item x="1"/>
        <item x="69"/>
        <item x="7"/>
        <item x="71"/>
        <item x="26"/>
        <item x="56"/>
        <item x="60"/>
        <item x="15"/>
        <item t="default"/>
      </items>
    </pivotField>
    <pivotField showAll="0"/>
    <pivotField showAll="0">
      <items count="7">
        <item x="5"/>
        <item x="0"/>
        <item x="1"/>
        <item x="2"/>
        <item x="3"/>
        <item x="4"/>
        <item t="default"/>
      </items>
    </pivotField>
    <pivotField showAll="0"/>
    <pivotField numFmtId="164" showAll="0"/>
    <pivotField showAll="0">
      <items count="11">
        <item x="8"/>
        <item x="3"/>
        <item x="4"/>
        <item x="2"/>
        <item x="6"/>
        <item x="1"/>
        <item x="7"/>
        <item x="5"/>
        <item x="0"/>
        <item x="9"/>
        <item t="default"/>
      </items>
    </pivotField>
    <pivotField showAll="0">
      <items count="15">
        <item x="13"/>
        <item x="5"/>
        <item x="0"/>
        <item x="4"/>
        <item x="8"/>
        <item x="10"/>
        <item x="3"/>
        <item x="7"/>
        <item x="11"/>
        <item x="1"/>
        <item x="6"/>
        <item x="9"/>
        <item x="12"/>
        <item x="2"/>
        <item t="default"/>
      </items>
    </pivotField>
    <pivotField dataField="1" numFmtId="164" showAll="0"/>
    <pivotField showAll="0">
      <items count="5">
        <item x="1"/>
        <item x="2"/>
        <item x="0"/>
        <item x="3"/>
        <item t="default"/>
      </items>
    </pivotField>
    <pivotField axis="axisRow" showAll="0">
      <items count="5">
        <item x="2"/>
        <item x="0"/>
        <item x="1"/>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5">
    <i>
      <x/>
    </i>
    <i>
      <x v="1"/>
    </i>
    <i>
      <x v="2"/>
    </i>
    <i>
      <x v="3"/>
    </i>
    <i t="grand">
      <x/>
    </i>
  </rowItems>
  <colItems count="1">
    <i/>
  </colItems>
  <dataFields count="1">
    <dataField name="Sum of Total Sales" fld="7" baseField="6"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EF49EB-B56E-46EE-87F2-E81B5424819C}" name="Sales by Custom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ustomer">
  <location ref="J6:K21" firstHeaderRow="1" firstDataRow="1" firstDataCol="1"/>
  <pivotFields count="13">
    <pivotField showAll="0">
      <items count="78">
        <item x="27"/>
        <item x="32"/>
        <item x="42"/>
        <item x="44"/>
        <item x="30"/>
        <item x="37"/>
        <item x="45"/>
        <item x="25"/>
        <item x="50"/>
        <item x="47"/>
        <item x="4"/>
        <item x="2"/>
        <item x="66"/>
        <item x="16"/>
        <item x="8"/>
        <item x="13"/>
        <item x="52"/>
        <item x="53"/>
        <item x="33"/>
        <item x="68"/>
        <item x="54"/>
        <item x="40"/>
        <item x="70"/>
        <item x="46"/>
        <item x="20"/>
        <item x="11"/>
        <item x="18"/>
        <item x="39"/>
        <item x="41"/>
        <item x="34"/>
        <item x="49"/>
        <item x="58"/>
        <item x="21"/>
        <item x="59"/>
        <item x="48"/>
        <item x="63"/>
        <item x="55"/>
        <item x="14"/>
        <item x="10"/>
        <item x="12"/>
        <item x="51"/>
        <item x="65"/>
        <item x="61"/>
        <item x="6"/>
        <item x="35"/>
        <item x="24"/>
        <item x="23"/>
        <item x="76"/>
        <item x="3"/>
        <item x="62"/>
        <item x="72"/>
        <item x="17"/>
        <item x="5"/>
        <item x="67"/>
        <item x="22"/>
        <item x="57"/>
        <item x="28"/>
        <item x="64"/>
        <item x="19"/>
        <item x="75"/>
        <item x="0"/>
        <item x="38"/>
        <item x="29"/>
        <item x="73"/>
        <item x="74"/>
        <item x="9"/>
        <item x="31"/>
        <item x="36"/>
        <item x="43"/>
        <item x="1"/>
        <item x="69"/>
        <item x="7"/>
        <item x="71"/>
        <item x="26"/>
        <item x="56"/>
        <item x="60"/>
        <item x="15"/>
        <item t="default"/>
      </items>
    </pivotField>
    <pivotField showAll="0"/>
    <pivotField showAll="0">
      <items count="7">
        <item x="5"/>
        <item x="0"/>
        <item x="1"/>
        <item x="2"/>
        <item x="3"/>
        <item x="4"/>
        <item t="default"/>
      </items>
    </pivotField>
    <pivotField showAll="0"/>
    <pivotField numFmtId="164" showAll="0"/>
    <pivotField showAll="0">
      <items count="11">
        <item x="8"/>
        <item x="3"/>
        <item x="4"/>
        <item x="2"/>
        <item x="6"/>
        <item x="1"/>
        <item x="7"/>
        <item x="5"/>
        <item x="0"/>
        <item x="9"/>
        <item t="default"/>
      </items>
    </pivotField>
    <pivotField axis="axisRow" showAll="0">
      <items count="15">
        <item x="13"/>
        <item x="5"/>
        <item x="0"/>
        <item x="4"/>
        <item x="8"/>
        <item x="10"/>
        <item x="3"/>
        <item x="7"/>
        <item x="11"/>
        <item x="1"/>
        <item x="6"/>
        <item x="9"/>
        <item x="12"/>
        <item x="2"/>
        <item t="default"/>
      </items>
    </pivotField>
    <pivotField dataField="1" numFmtId="164" showAll="0"/>
    <pivotField showAll="0">
      <items count="5">
        <item x="1"/>
        <item x="2"/>
        <item x="0"/>
        <item x="3"/>
        <item t="default"/>
      </items>
    </pivotField>
    <pivotField showAll="0">
      <items count="5">
        <item x="2"/>
        <item x="0"/>
        <item x="1"/>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5">
    <i>
      <x/>
    </i>
    <i>
      <x v="1"/>
    </i>
    <i>
      <x v="2"/>
    </i>
    <i>
      <x v="3"/>
    </i>
    <i>
      <x v="4"/>
    </i>
    <i>
      <x v="5"/>
    </i>
    <i>
      <x v="6"/>
    </i>
    <i>
      <x v="7"/>
    </i>
    <i>
      <x v="8"/>
    </i>
    <i>
      <x v="9"/>
    </i>
    <i>
      <x v="10"/>
    </i>
    <i>
      <x v="11"/>
    </i>
    <i>
      <x v="12"/>
    </i>
    <i>
      <x v="13"/>
    </i>
    <i t="grand">
      <x/>
    </i>
  </rowItems>
  <colItems count="1">
    <i/>
  </colItems>
  <dataFields count="1">
    <dataField name="Sum of Total Sales" fld="7" baseField="6"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893A9A-E6EC-4504-9970-72D3B5F92885}" name="Sales by Product in Pi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Month(s)/Quarter">
  <location ref="Y7:Z24" firstHeaderRow="1" firstDataRow="1" firstDataCol="1"/>
  <pivotFields count="13">
    <pivotField showAll="0">
      <items count="78">
        <item x="27"/>
        <item x="32"/>
        <item x="42"/>
        <item x="44"/>
        <item x="30"/>
        <item x="37"/>
        <item x="45"/>
        <item x="25"/>
        <item x="50"/>
        <item x="47"/>
        <item x="4"/>
        <item x="2"/>
        <item x="66"/>
        <item x="16"/>
        <item x="8"/>
        <item x="13"/>
        <item x="52"/>
        <item x="53"/>
        <item x="33"/>
        <item x="68"/>
        <item x="54"/>
        <item x="40"/>
        <item x="70"/>
        <item x="46"/>
        <item x="20"/>
        <item x="11"/>
        <item x="18"/>
        <item x="39"/>
        <item x="41"/>
        <item x="34"/>
        <item x="49"/>
        <item x="58"/>
        <item x="21"/>
        <item x="59"/>
        <item x="48"/>
        <item x="63"/>
        <item x="55"/>
        <item x="14"/>
        <item x="10"/>
        <item x="12"/>
        <item x="51"/>
        <item x="65"/>
        <item x="61"/>
        <item x="6"/>
        <item x="35"/>
        <item x="24"/>
        <item x="23"/>
        <item x="76"/>
        <item x="3"/>
        <item x="62"/>
        <item x="72"/>
        <item x="17"/>
        <item x="5"/>
        <item x="67"/>
        <item x="22"/>
        <item x="57"/>
        <item x="28"/>
        <item x="64"/>
        <item x="19"/>
        <item x="75"/>
        <item x="0"/>
        <item x="38"/>
        <item x="29"/>
        <item x="73"/>
        <item x="74"/>
        <item x="9"/>
        <item x="31"/>
        <item x="36"/>
        <item x="43"/>
        <item x="1"/>
        <item x="69"/>
        <item x="7"/>
        <item x="71"/>
        <item x="26"/>
        <item x="56"/>
        <item x="60"/>
        <item x="15"/>
        <item t="default"/>
      </items>
    </pivotField>
    <pivotField axis="axisRow" showAll="0">
      <items count="9">
        <item x="7"/>
        <item x="4"/>
        <item x="0"/>
        <item x="3"/>
        <item x="2"/>
        <item x="6"/>
        <item x="5"/>
        <item x="1"/>
        <item t="default"/>
      </items>
    </pivotField>
    <pivotField axis="axisRow" showAll="0">
      <items count="7">
        <item x="5"/>
        <item x="0"/>
        <item x="1"/>
        <item x="2"/>
        <item x="3"/>
        <item x="4"/>
        <item t="default"/>
      </items>
    </pivotField>
    <pivotField showAll="0"/>
    <pivotField numFmtId="164" showAll="0"/>
    <pivotField showAll="0">
      <items count="11">
        <item x="8"/>
        <item x="3"/>
        <item x="4"/>
        <item x="2"/>
        <item x="6"/>
        <item x="1"/>
        <item x="7"/>
        <item x="5"/>
        <item x="0"/>
        <item x="9"/>
        <item t="default"/>
      </items>
    </pivotField>
    <pivotField showAll="0"/>
    <pivotField dataField="1" numFmtId="164" showAll="0"/>
    <pivotField showAll="0">
      <items count="5">
        <item x="1"/>
        <item x="2"/>
        <item x="0"/>
        <item x="3"/>
        <item t="default"/>
      </items>
    </pivotField>
    <pivotField showAll="0">
      <items count="5">
        <item x="2"/>
        <item x="0"/>
        <item x="1"/>
        <item x="3"/>
        <item t="default"/>
      </items>
    </pivotField>
    <pivotField showAll="0">
      <items count="13">
        <item x="2"/>
        <item x="5"/>
        <item x="8"/>
        <item x="6"/>
        <item x="3"/>
        <item x="0"/>
        <item x="9"/>
        <item x="1"/>
        <item x="11"/>
        <item x="4"/>
        <item x="10"/>
        <item x="7"/>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
    <field x="2"/>
  </rowFields>
  <rowItems count="17">
    <i>
      <x/>
    </i>
    <i r="1">
      <x v="4"/>
    </i>
    <i>
      <x v="1"/>
    </i>
    <i r="1">
      <x v="5"/>
    </i>
    <i>
      <x v="2"/>
    </i>
    <i r="1">
      <x v="1"/>
    </i>
    <i>
      <x v="3"/>
    </i>
    <i r="1">
      <x v="4"/>
    </i>
    <i>
      <x v="4"/>
    </i>
    <i r="1">
      <x v="3"/>
    </i>
    <i>
      <x v="5"/>
    </i>
    <i r="1">
      <x/>
    </i>
    <i>
      <x v="6"/>
    </i>
    <i r="1">
      <x v="3"/>
    </i>
    <i>
      <x v="7"/>
    </i>
    <i r="1">
      <x v="2"/>
    </i>
    <i t="grand">
      <x/>
    </i>
  </rowItems>
  <colItems count="1">
    <i/>
  </colItems>
  <dataFields count="1">
    <dataField name="Sum of Total Sales" fld="7" baseField="0" baseItem="0" numFmtId="164"/>
  </dataFields>
  <chartFormats count="22">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1" count="1" selected="0">
            <x v="0"/>
          </reference>
        </references>
      </pivotArea>
    </chartFormat>
    <chartFormat chart="12" format="3">
      <pivotArea type="data" outline="0" fieldPosition="0">
        <references count="2">
          <reference field="4294967294" count="1" selected="0">
            <x v="0"/>
          </reference>
          <reference field="1" count="1" selected="0">
            <x v="1"/>
          </reference>
        </references>
      </pivotArea>
    </chartFormat>
    <chartFormat chart="12" format="4">
      <pivotArea type="data" outline="0" fieldPosition="0">
        <references count="2">
          <reference field="4294967294" count="1" selected="0">
            <x v="0"/>
          </reference>
          <reference field="1" count="1" selected="0">
            <x v="2"/>
          </reference>
        </references>
      </pivotArea>
    </chartFormat>
    <chartFormat chart="12" format="5">
      <pivotArea type="data" outline="0" fieldPosition="0">
        <references count="2">
          <reference field="4294967294" count="1" selected="0">
            <x v="0"/>
          </reference>
          <reference field="1" count="1" selected="0">
            <x v="3"/>
          </reference>
        </references>
      </pivotArea>
    </chartFormat>
    <chartFormat chart="12" format="6">
      <pivotArea type="data" outline="0" fieldPosition="0">
        <references count="2">
          <reference field="4294967294" count="1" selected="0">
            <x v="0"/>
          </reference>
          <reference field="1" count="1" selected="0">
            <x v="4"/>
          </reference>
        </references>
      </pivotArea>
    </chartFormat>
    <chartFormat chart="12" format="7">
      <pivotArea type="data" outline="0" fieldPosition="0">
        <references count="2">
          <reference field="4294967294" count="1" selected="0">
            <x v="0"/>
          </reference>
          <reference field="1" count="1" selected="0">
            <x v="5"/>
          </reference>
        </references>
      </pivotArea>
    </chartFormat>
    <chartFormat chart="12" format="8">
      <pivotArea type="data" outline="0" fieldPosition="0">
        <references count="2">
          <reference field="4294967294" count="1" selected="0">
            <x v="0"/>
          </reference>
          <reference field="1" count="1" selected="0">
            <x v="6"/>
          </reference>
        </references>
      </pivotArea>
    </chartFormat>
    <chartFormat chart="12" format="9">
      <pivotArea type="data" outline="0" fieldPosition="0">
        <references count="2">
          <reference field="4294967294" count="1" selected="0">
            <x v="0"/>
          </reference>
          <reference field="1" count="1" selected="0">
            <x v="7"/>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 count="1" selected="0">
            <x v="0"/>
          </reference>
        </references>
      </pivotArea>
    </chartFormat>
    <chartFormat chart="13" format="12">
      <pivotArea type="data" outline="0" fieldPosition="0">
        <references count="2">
          <reference field="4294967294" count="1" selected="0">
            <x v="0"/>
          </reference>
          <reference field="1" count="1" selected="0">
            <x v="1"/>
          </reference>
        </references>
      </pivotArea>
    </chartFormat>
    <chartFormat chart="13" format="13">
      <pivotArea type="data" outline="0" fieldPosition="0">
        <references count="2">
          <reference field="4294967294" count="1" selected="0">
            <x v="0"/>
          </reference>
          <reference field="1" count="1" selected="0">
            <x v="2"/>
          </reference>
        </references>
      </pivotArea>
    </chartFormat>
    <chartFormat chart="13" format="14">
      <pivotArea type="data" outline="0" fieldPosition="0">
        <references count="2">
          <reference field="4294967294" count="1" selected="0">
            <x v="0"/>
          </reference>
          <reference field="1" count="1" selected="0">
            <x v="3"/>
          </reference>
        </references>
      </pivotArea>
    </chartFormat>
    <chartFormat chart="13" format="15">
      <pivotArea type="data" outline="0" fieldPosition="0">
        <references count="2">
          <reference field="4294967294" count="1" selected="0">
            <x v="0"/>
          </reference>
          <reference field="1" count="1" selected="0">
            <x v="4"/>
          </reference>
        </references>
      </pivotArea>
    </chartFormat>
    <chartFormat chart="13" format="16">
      <pivotArea type="data" outline="0" fieldPosition="0">
        <references count="2">
          <reference field="4294967294" count="1" selected="0">
            <x v="0"/>
          </reference>
          <reference field="1" count="1" selected="0">
            <x v="5"/>
          </reference>
        </references>
      </pivotArea>
    </chartFormat>
    <chartFormat chart="13" format="17">
      <pivotArea type="data" outline="0" fieldPosition="0">
        <references count="2">
          <reference field="4294967294" count="1" selected="0">
            <x v="0"/>
          </reference>
          <reference field="1" count="1" selected="0">
            <x v="6"/>
          </reference>
        </references>
      </pivotArea>
    </chartFormat>
    <chartFormat chart="13" format="18">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500E85-35E9-4E99-849B-79D5FF9E59E1}" name="Sales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ategory">
  <location ref="V7:W14" firstHeaderRow="1" firstDataRow="1" firstDataCol="1"/>
  <pivotFields count="13">
    <pivotField showAll="0">
      <items count="78">
        <item x="27"/>
        <item x="32"/>
        <item x="42"/>
        <item x="44"/>
        <item x="30"/>
        <item x="37"/>
        <item x="45"/>
        <item x="25"/>
        <item x="50"/>
        <item x="47"/>
        <item x="4"/>
        <item x="2"/>
        <item x="66"/>
        <item x="16"/>
        <item x="8"/>
        <item x="13"/>
        <item x="52"/>
        <item x="53"/>
        <item x="33"/>
        <item x="68"/>
        <item x="54"/>
        <item x="40"/>
        <item x="70"/>
        <item x="46"/>
        <item x="20"/>
        <item x="11"/>
        <item x="18"/>
        <item x="39"/>
        <item x="41"/>
        <item x="34"/>
        <item x="49"/>
        <item x="58"/>
        <item x="21"/>
        <item x="59"/>
        <item x="48"/>
        <item x="63"/>
        <item x="55"/>
        <item x="14"/>
        <item x="10"/>
        <item x="12"/>
        <item x="51"/>
        <item x="65"/>
        <item x="61"/>
        <item x="6"/>
        <item x="35"/>
        <item x="24"/>
        <item x="23"/>
        <item x="76"/>
        <item x="3"/>
        <item x="62"/>
        <item x="72"/>
        <item x="17"/>
        <item x="5"/>
        <item x="67"/>
        <item x="22"/>
        <item x="57"/>
        <item x="28"/>
        <item x="64"/>
        <item x="19"/>
        <item x="75"/>
        <item x="0"/>
        <item x="38"/>
        <item x="29"/>
        <item x="73"/>
        <item x="74"/>
        <item x="9"/>
        <item x="31"/>
        <item x="36"/>
        <item x="43"/>
        <item x="1"/>
        <item x="69"/>
        <item x="7"/>
        <item x="71"/>
        <item x="26"/>
        <item x="56"/>
        <item x="60"/>
        <item x="15"/>
        <item t="default"/>
      </items>
    </pivotField>
    <pivotField showAll="0"/>
    <pivotField axis="axisRow" showAll="0">
      <items count="7">
        <item x="5"/>
        <item x="0"/>
        <item x="1"/>
        <item x="2"/>
        <item x="3"/>
        <item x="4"/>
        <item t="default"/>
      </items>
    </pivotField>
    <pivotField showAll="0"/>
    <pivotField numFmtId="164" showAll="0"/>
    <pivotField showAll="0">
      <items count="11">
        <item x="8"/>
        <item x="3"/>
        <item x="4"/>
        <item x="2"/>
        <item x="6"/>
        <item x="1"/>
        <item x="7"/>
        <item x="5"/>
        <item x="0"/>
        <item x="9"/>
        <item t="default"/>
      </items>
    </pivotField>
    <pivotField showAll="0"/>
    <pivotField dataField="1" numFmtId="164" showAll="0"/>
    <pivotField showAll="0">
      <items count="5">
        <item x="1"/>
        <item x="2"/>
        <item x="0"/>
        <item x="3"/>
        <item t="default"/>
      </items>
    </pivotField>
    <pivotField showAll="0">
      <items count="5">
        <item x="2"/>
        <item x="0"/>
        <item x="1"/>
        <item x="3"/>
        <item t="default"/>
      </items>
    </pivotField>
    <pivotField showAll="0">
      <items count="13">
        <item x="2"/>
        <item x="5"/>
        <item x="8"/>
        <item x="6"/>
        <item x="3"/>
        <item x="0"/>
        <item x="9"/>
        <item x="1"/>
        <item x="11"/>
        <item x="4"/>
        <item x="10"/>
        <item x="7"/>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Total Sales" fld="7" baseField="0" baseItem="0" numFmtId="164"/>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85C37B-D856-4AB3-8B7A-A9D04CE7D30E}" name="Sales by Region and Quart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Quarter">
  <location ref="G6:H57" firstHeaderRow="1" firstDataRow="1" firstDataCol="1"/>
  <pivotFields count="13">
    <pivotField showAll="0">
      <items count="78">
        <item x="27"/>
        <item x="32"/>
        <item x="42"/>
        <item x="44"/>
        <item x="30"/>
        <item x="37"/>
        <item x="45"/>
        <item x="25"/>
        <item x="50"/>
        <item x="47"/>
        <item x="4"/>
        <item x="2"/>
        <item x="66"/>
        <item x="16"/>
        <item x="8"/>
        <item x="13"/>
        <item x="52"/>
        <item x="53"/>
        <item x="33"/>
        <item x="68"/>
        <item x="54"/>
        <item x="40"/>
        <item x="70"/>
        <item x="46"/>
        <item x="20"/>
        <item x="11"/>
        <item x="18"/>
        <item x="39"/>
        <item x="41"/>
        <item x="34"/>
        <item x="49"/>
        <item x="58"/>
        <item x="21"/>
        <item x="59"/>
        <item x="48"/>
        <item x="63"/>
        <item x="55"/>
        <item x="14"/>
        <item x="10"/>
        <item x="12"/>
        <item x="51"/>
        <item x="65"/>
        <item x="61"/>
        <item x="6"/>
        <item x="35"/>
        <item x="24"/>
        <item x="23"/>
        <item x="76"/>
        <item x="3"/>
        <item x="62"/>
        <item x="72"/>
        <item x="17"/>
        <item x="5"/>
        <item x="67"/>
        <item x="22"/>
        <item x="57"/>
        <item x="28"/>
        <item x="64"/>
        <item x="19"/>
        <item x="75"/>
        <item x="0"/>
        <item x="38"/>
        <item x="29"/>
        <item x="73"/>
        <item x="74"/>
        <item x="9"/>
        <item x="31"/>
        <item x="36"/>
        <item x="43"/>
        <item x="1"/>
        <item x="69"/>
        <item x="7"/>
        <item x="71"/>
        <item x="26"/>
        <item x="56"/>
        <item x="60"/>
        <item x="15"/>
        <item t="default"/>
      </items>
    </pivotField>
    <pivotField showAll="0"/>
    <pivotField showAll="0">
      <items count="7">
        <item x="5"/>
        <item x="0"/>
        <item x="1"/>
        <item x="2"/>
        <item x="3"/>
        <item x="4"/>
        <item t="default"/>
      </items>
    </pivotField>
    <pivotField showAll="0"/>
    <pivotField numFmtId="164" showAll="0"/>
    <pivotField showAll="0">
      <items count="11">
        <item x="8"/>
        <item x="3"/>
        <item x="4"/>
        <item x="2"/>
        <item x="6"/>
        <item x="1"/>
        <item x="7"/>
        <item x="5"/>
        <item x="0"/>
        <item x="9"/>
        <item t="default"/>
      </items>
    </pivotField>
    <pivotField showAll="0"/>
    <pivotField dataField="1" numFmtId="164" showAll="0"/>
    <pivotField axis="axisRow" showAll="0">
      <items count="5">
        <item x="1"/>
        <item x="2"/>
        <item x="0"/>
        <item x="3"/>
        <item t="default"/>
      </items>
    </pivotField>
    <pivotField axis="axisRow" showAll="0">
      <items count="5">
        <item x="2"/>
        <item x="0"/>
        <item x="1"/>
        <item x="3"/>
        <item t="default"/>
      </items>
    </pivotField>
    <pivotField axis="axisRow" showAll="0">
      <items count="13">
        <item x="2"/>
        <item x="5"/>
        <item x="8"/>
        <item x="6"/>
        <item x="3"/>
        <item x="0"/>
        <item x="9"/>
        <item x="1"/>
        <item x="11"/>
        <item x="4"/>
        <item x="10"/>
        <item x="7"/>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3">
    <field x="8"/>
    <field x="9"/>
    <field x="10"/>
  </rowFields>
  <rowItems count="51">
    <i>
      <x/>
    </i>
    <i r="1">
      <x/>
    </i>
    <i r="2">
      <x/>
    </i>
    <i r="2">
      <x v="1"/>
    </i>
    <i r="2">
      <x v="2"/>
    </i>
    <i r="1">
      <x v="1"/>
    </i>
    <i r="2">
      <x v="3"/>
    </i>
    <i r="2">
      <x v="4"/>
    </i>
    <i r="2">
      <x v="5"/>
    </i>
    <i r="1">
      <x v="2"/>
    </i>
    <i r="2">
      <x v="7"/>
    </i>
    <i r="2">
      <x v="8"/>
    </i>
    <i r="1">
      <x v="3"/>
    </i>
    <i r="2">
      <x v="9"/>
    </i>
    <i r="2">
      <x v="11"/>
    </i>
    <i>
      <x v="1"/>
    </i>
    <i r="1">
      <x/>
    </i>
    <i r="2">
      <x/>
    </i>
    <i r="2">
      <x v="1"/>
    </i>
    <i r="2">
      <x v="2"/>
    </i>
    <i r="1">
      <x v="1"/>
    </i>
    <i r="2">
      <x v="4"/>
    </i>
    <i r="2">
      <x v="5"/>
    </i>
    <i r="1">
      <x v="3"/>
    </i>
    <i r="2">
      <x v="9"/>
    </i>
    <i r="2">
      <x v="11"/>
    </i>
    <i>
      <x v="2"/>
    </i>
    <i r="1">
      <x/>
    </i>
    <i r="2">
      <x/>
    </i>
    <i r="2">
      <x v="1"/>
    </i>
    <i r="2">
      <x v="2"/>
    </i>
    <i r="1">
      <x v="1"/>
    </i>
    <i r="2">
      <x v="3"/>
    </i>
    <i r="2">
      <x v="4"/>
    </i>
    <i r="2">
      <x v="5"/>
    </i>
    <i r="1">
      <x v="2"/>
    </i>
    <i r="2">
      <x v="6"/>
    </i>
    <i r="2">
      <x v="7"/>
    </i>
    <i>
      <x v="3"/>
    </i>
    <i r="1">
      <x/>
    </i>
    <i r="2">
      <x/>
    </i>
    <i r="2">
      <x v="1"/>
    </i>
    <i r="2">
      <x v="2"/>
    </i>
    <i r="1">
      <x v="1"/>
    </i>
    <i r="2">
      <x v="3"/>
    </i>
    <i r="2">
      <x v="4"/>
    </i>
    <i r="2">
      <x v="5"/>
    </i>
    <i r="1">
      <x v="3"/>
    </i>
    <i r="2">
      <x v="9"/>
    </i>
    <i r="2">
      <x v="10"/>
    </i>
    <i t="grand">
      <x/>
    </i>
  </rowItems>
  <colItems count="1">
    <i/>
  </colItems>
  <dataFields count="1">
    <dataField name="Sum of Total Sales" fld="7" baseField="0" baseItem="0" numFmtId="164"/>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B4314A-8781-49F7-9CE0-E87961C76268}" name="Sales Trend by Month(s)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s)/Quarter">
  <location ref="S7:T20" firstHeaderRow="1" firstDataRow="1" firstDataCol="1"/>
  <pivotFields count="13">
    <pivotField axis="axisRow" showAll="0">
      <items count="78">
        <item x="27"/>
        <item x="32"/>
        <item x="42"/>
        <item x="44"/>
        <item x="30"/>
        <item x="37"/>
        <item x="45"/>
        <item x="25"/>
        <item x="50"/>
        <item x="47"/>
        <item x="4"/>
        <item x="2"/>
        <item x="66"/>
        <item x="16"/>
        <item x="8"/>
        <item x="13"/>
        <item x="52"/>
        <item x="53"/>
        <item x="33"/>
        <item x="68"/>
        <item x="54"/>
        <item x="40"/>
        <item x="70"/>
        <item x="46"/>
        <item x="20"/>
        <item x="11"/>
        <item x="18"/>
        <item x="39"/>
        <item x="41"/>
        <item x="34"/>
        <item x="49"/>
        <item x="58"/>
        <item x="21"/>
        <item x="59"/>
        <item x="48"/>
        <item x="63"/>
        <item x="55"/>
        <item x="14"/>
        <item x="10"/>
        <item x="12"/>
        <item x="51"/>
        <item x="65"/>
        <item x="61"/>
        <item x="6"/>
        <item x="35"/>
        <item x="24"/>
        <item x="23"/>
        <item x="76"/>
        <item x="3"/>
        <item x="62"/>
        <item x="72"/>
        <item x="17"/>
        <item x="5"/>
        <item x="67"/>
        <item x="22"/>
        <item x="57"/>
        <item x="28"/>
        <item x="64"/>
        <item x="19"/>
        <item x="75"/>
        <item x="0"/>
        <item x="38"/>
        <item x="29"/>
        <item x="73"/>
        <item x="74"/>
        <item x="9"/>
        <item x="31"/>
        <item x="36"/>
        <item x="43"/>
        <item x="1"/>
        <item x="69"/>
        <item x="7"/>
        <item x="71"/>
        <item x="26"/>
        <item x="56"/>
        <item x="60"/>
        <item x="15"/>
        <item t="default"/>
      </items>
    </pivotField>
    <pivotField showAll="0"/>
    <pivotField showAll="0">
      <items count="7">
        <item x="5"/>
        <item x="0"/>
        <item x="1"/>
        <item x="2"/>
        <item x="3"/>
        <item x="4"/>
        <item t="default"/>
      </items>
    </pivotField>
    <pivotField showAll="0"/>
    <pivotField numFmtId="164" showAll="0"/>
    <pivotField showAll="0">
      <items count="11">
        <item x="8"/>
        <item x="3"/>
        <item x="4"/>
        <item x="2"/>
        <item x="6"/>
        <item x="1"/>
        <item x="7"/>
        <item x="5"/>
        <item x="0"/>
        <item x="9"/>
        <item t="default"/>
      </items>
    </pivotField>
    <pivotField showAll="0"/>
    <pivotField dataField="1" numFmtId="164" showAll="0"/>
    <pivotField showAll="0">
      <items count="5">
        <item x="1"/>
        <item x="2"/>
        <item x="0"/>
        <item x="3"/>
        <item t="default"/>
      </items>
    </pivotField>
    <pivotField axis="axisRow" showAll="0">
      <items count="5">
        <item x="2"/>
        <item x="0"/>
        <item x="1"/>
        <item x="3"/>
        <item t="default"/>
      </items>
    </pivotField>
    <pivotField showAll="0">
      <items count="13">
        <item x="2"/>
        <item x="5"/>
        <item x="8"/>
        <item x="6"/>
        <item x="3"/>
        <item x="0"/>
        <item x="9"/>
        <item x="1"/>
        <item x="11"/>
        <item x="4"/>
        <item x="10"/>
        <item x="7"/>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4">
    <field x="12"/>
    <field x="11"/>
    <field x="0"/>
    <field x="9"/>
  </rowFields>
  <rowItems count="13">
    <i>
      <x v="1"/>
    </i>
    <i>
      <x v="2"/>
    </i>
    <i>
      <x v="3"/>
    </i>
    <i>
      <x v="4"/>
    </i>
    <i>
      <x v="5"/>
    </i>
    <i>
      <x v="6"/>
    </i>
    <i>
      <x v="7"/>
    </i>
    <i>
      <x v="8"/>
    </i>
    <i>
      <x v="9"/>
    </i>
    <i>
      <x v="10"/>
    </i>
    <i>
      <x v="11"/>
    </i>
    <i>
      <x v="12"/>
    </i>
    <i t="grand">
      <x/>
    </i>
  </rowItems>
  <colItems count="1">
    <i/>
  </colItems>
  <dataFields count="1">
    <dataField name="Sum of Total Sales" fld="7" baseField="0" baseItem="0" numFmtId="164"/>
  </dataFields>
  <chartFormats count="4">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C70220-141D-4D31-BA5F-8C79131D110D}" name="Sales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D6:E11" firstHeaderRow="1" firstDataRow="1" firstDataCol="1"/>
  <pivotFields count="13">
    <pivotField showAll="0">
      <items count="78">
        <item x="27"/>
        <item x="32"/>
        <item x="42"/>
        <item x="44"/>
        <item x="30"/>
        <item x="37"/>
        <item x="45"/>
        <item x="25"/>
        <item x="50"/>
        <item x="47"/>
        <item x="4"/>
        <item x="2"/>
        <item x="66"/>
        <item x="16"/>
        <item x="8"/>
        <item x="13"/>
        <item x="52"/>
        <item x="53"/>
        <item x="33"/>
        <item x="68"/>
        <item x="54"/>
        <item x="40"/>
        <item x="70"/>
        <item x="46"/>
        <item x="20"/>
        <item x="11"/>
        <item x="18"/>
        <item x="39"/>
        <item x="41"/>
        <item x="34"/>
        <item x="49"/>
        <item x="58"/>
        <item x="21"/>
        <item x="59"/>
        <item x="48"/>
        <item x="63"/>
        <item x="55"/>
        <item x="14"/>
        <item x="10"/>
        <item x="12"/>
        <item x="51"/>
        <item x="65"/>
        <item x="61"/>
        <item x="6"/>
        <item x="35"/>
        <item x="24"/>
        <item x="23"/>
        <item x="76"/>
        <item x="3"/>
        <item x="62"/>
        <item x="72"/>
        <item x="17"/>
        <item x="5"/>
        <item x="67"/>
        <item x="22"/>
        <item x="57"/>
        <item x="28"/>
        <item x="64"/>
        <item x="19"/>
        <item x="75"/>
        <item x="0"/>
        <item x="38"/>
        <item x="29"/>
        <item x="73"/>
        <item x="74"/>
        <item x="9"/>
        <item x="31"/>
        <item x="36"/>
        <item x="43"/>
        <item x="1"/>
        <item x="69"/>
        <item x="7"/>
        <item x="71"/>
        <item x="26"/>
        <item x="56"/>
        <item x="60"/>
        <item x="15"/>
        <item t="default"/>
      </items>
    </pivotField>
    <pivotField showAll="0"/>
    <pivotField showAll="0">
      <items count="7">
        <item x="5"/>
        <item x="0"/>
        <item x="1"/>
        <item x="2"/>
        <item x="3"/>
        <item x="4"/>
        <item t="default"/>
      </items>
    </pivotField>
    <pivotField showAll="0"/>
    <pivotField numFmtId="164" showAll="0"/>
    <pivotField showAll="0">
      <items count="11">
        <item x="8"/>
        <item x="3"/>
        <item x="4"/>
        <item x="2"/>
        <item x="6"/>
        <item x="1"/>
        <item x="7"/>
        <item x="5"/>
        <item x="0"/>
        <item x="9"/>
        <item t="default"/>
      </items>
    </pivotField>
    <pivotField showAll="0"/>
    <pivotField dataField="1" numFmtId="164" showAll="0"/>
    <pivotField axis="axisRow" showAll="0">
      <items count="5">
        <item x="1"/>
        <item x="2"/>
        <item x="0"/>
        <item x="3"/>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Sum of Total Sales" fld="7" baseField="8"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7A6F9F1-CD6A-406B-9D72-9F63464E08A5}" sourceName="Category">
  <pivotTables>
    <pivotTable tabId="6" name="Sales by Category"/>
    <pivotTable tabId="6" name="Sales by Customer(s)"/>
    <pivotTable tabId="6" name="Sales by Product and Category"/>
    <pivotTable tabId="6" name="Sales by Quarter"/>
    <pivotTable tabId="6" name="Sales by Region"/>
    <pivotTable tabId="6" name="Sales by Region and Quarter"/>
    <pivotTable tabId="6" name="Sales by Salesperson(s)"/>
    <pivotTable tabId="6" name="Sales Trend by Month(s) "/>
    <pivotTable tabId="6" name="Sales by Product in Pie"/>
  </pivotTables>
  <data>
    <tabular pivotCacheId="1952198553">
      <items count="6">
        <i x="5" s="1"/>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9022AE-3B50-47BF-8A91-C0495A8AF3B2}" sourceName="Region">
  <pivotTables>
    <pivotTable tabId="6" name="Sales by Category"/>
    <pivotTable tabId="6" name="Sales by Customer(s)"/>
    <pivotTable tabId="6" name="Sales by Product and Category"/>
    <pivotTable tabId="6" name="Sales by Quarter"/>
    <pivotTable tabId="6" name="Sales by Region"/>
    <pivotTable tabId="6" name="Sales by Region and Quarter"/>
    <pivotTable tabId="6" name="Sales by Salesperson(s)"/>
    <pivotTable tabId="6" name="Sales Trend by Month(s) "/>
    <pivotTable tabId="6" name="Sales by Product in Pie"/>
  </pivotTables>
  <data>
    <tabular pivotCacheId="1952198553">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5B272F5-C936-45D4-9434-56611C8FA45F}" cache="Slicer_Category" caption="Category" columnCount="3" rowHeight="241300"/>
  <slicer name="Region" xr10:uid="{C5FBF5D5-4CC3-427B-8ED0-0BA80AA90DEA}" cache="Slicer_Region" caption="Region"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B96B8E-3DAF-4C94-AF39-443912646543}" name="Table1" displayName="Table1" ref="A1:K101" totalsRowShown="0" headerRowDxfId="13" headerRowBorderDxfId="12" tableBorderDxfId="11" totalsRowBorderDxfId="10">
  <autoFilter ref="A1:K101" xr:uid="{1CB96B8E-3DAF-4C94-AF39-443912646543}"/>
  <tableColumns count="11">
    <tableColumn id="1" xr3:uid="{97AF7FBB-4A3D-4360-9BC7-D9268F8512EF}" name="Date" dataDxfId="9"/>
    <tableColumn id="3" xr3:uid="{AFD90DA9-19DB-416E-80AB-D53186CC6291}" name="Product" dataDxfId="8"/>
    <tableColumn id="4" xr3:uid="{ADFB368C-5ACA-4EE6-9185-DB4B04988495}" name="Category" dataDxfId="7"/>
    <tableColumn id="5" xr3:uid="{34F3B5F3-7192-4399-B8C3-2775E68E69B5}" name="Units Sold" dataDxfId="6"/>
    <tableColumn id="6" xr3:uid="{F146DD9C-3E90-47CA-A052-C5EB759C7480}" name="Unit Price" dataDxfId="5"/>
    <tableColumn id="7" xr3:uid="{CBDC422C-48D6-4CC4-BD59-12763892862F}" name="Sales Rep" dataDxfId="4"/>
    <tableColumn id="8" xr3:uid="{62467BE8-6366-4557-AD0D-79F1E3C1EAF9}" name="Customer" dataDxfId="3"/>
    <tableColumn id="15" xr3:uid="{01BBD8E9-074E-49EE-9883-BA474B62B084}" name="Total Sales" dataDxfId="2">
      <calculatedColumnFormula>Table1[[#This Row],[Units Sold]]*Table1[[#This Row],[Unit Price]]</calculatedColumnFormula>
    </tableColumn>
    <tableColumn id="18" xr3:uid="{0B3980BB-01EB-4C56-B53C-3CF222EA65DD}" name="Region"/>
    <tableColumn id="2" xr3:uid="{DAF3AC87-6D43-417B-80C5-F616A2EA39C2}" name="Quarter(Q)" dataDxfId="1">
      <calculatedColumnFormula>"Q"&amp;ROUNDUP(MONTH(Table1[[#This Row],[Date]])/3,0)</calculatedColumnFormula>
    </tableColumn>
    <tableColumn id="13" xr3:uid="{54B8C4F6-5BE3-4CFD-93E4-7DCDEF627E00}" name="Month" dataDxfId="0">
      <calculatedColumnFormula>TEXT(Table1[[#This Row],[Date]],"mmmm")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1AE3-4DFA-46B3-8FA3-6F0C05532777}">
  <sheetPr codeName="Sheet1"/>
  <dimension ref="A1:O21"/>
  <sheetViews>
    <sheetView workbookViewId="0">
      <selection activeCell="G10" sqref="G10"/>
    </sheetView>
  </sheetViews>
  <sheetFormatPr defaultColWidth="0" defaultRowHeight="15" zeroHeight="1" x14ac:dyDescent="0.25"/>
  <cols>
    <col min="1" max="1" width="3.42578125" style="2" customWidth="1"/>
    <col min="2" max="15" width="8.7109375" style="2" customWidth="1"/>
    <col min="16" max="16384" width="8.7109375" style="2" hidden="1"/>
  </cols>
  <sheetData>
    <row r="1" spans="2:14" x14ac:dyDescent="0.25"/>
    <row r="2" spans="2:14" ht="34.5" thickBot="1" x14ac:dyDescent="0.55000000000000004">
      <c r="B2" s="3" t="s">
        <v>30</v>
      </c>
      <c r="C2" s="4"/>
      <c r="D2" s="4"/>
      <c r="E2" s="4"/>
      <c r="F2" s="4"/>
      <c r="G2" s="4"/>
      <c r="H2" s="4"/>
      <c r="I2" s="4"/>
      <c r="J2" s="4"/>
      <c r="K2" s="4"/>
      <c r="L2" s="4"/>
      <c r="M2" s="4"/>
      <c r="N2" s="4"/>
    </row>
    <row r="3" spans="2:14" x14ac:dyDescent="0.25"/>
    <row r="4" spans="2:14" x14ac:dyDescent="0.25"/>
    <row r="5" spans="2:14" x14ac:dyDescent="0.25"/>
    <row r="6" spans="2:14" x14ac:dyDescent="0.25"/>
    <row r="7" spans="2:14" x14ac:dyDescent="0.25"/>
    <row r="8" spans="2:14" x14ac:dyDescent="0.25"/>
    <row r="9" spans="2:14" x14ac:dyDescent="0.25"/>
    <row r="10" spans="2:14" x14ac:dyDescent="0.25"/>
    <row r="11" spans="2:14" x14ac:dyDescent="0.25"/>
    <row r="12" spans="2:14" x14ac:dyDescent="0.25"/>
    <row r="13" spans="2:14" x14ac:dyDescent="0.25"/>
    <row r="14" spans="2:14" x14ac:dyDescent="0.25"/>
    <row r="15" spans="2:14" x14ac:dyDescent="0.25"/>
    <row r="17" s="2" customFormat="1" hidden="1" x14ac:dyDescent="0.25"/>
    <row r="18" s="2" customFormat="1" hidden="1" x14ac:dyDescent="0.25"/>
    <row r="19" s="2" customFormat="1" hidden="1" x14ac:dyDescent="0.25"/>
    <row r="20" s="2" customFormat="1" hidden="1" x14ac:dyDescent="0.25"/>
    <row r="21" s="2" customFormat="1" hidden="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C20C8-F1B7-4A8F-B6CB-3DF9F752D7A8}">
  <sheetPr codeName="Sheet2"/>
  <dimension ref="A5:Z57"/>
  <sheetViews>
    <sheetView topLeftCell="P1" workbookViewId="0">
      <selection activeCell="S10" sqref="S10"/>
    </sheetView>
  </sheetViews>
  <sheetFormatPr defaultRowHeight="15" x14ac:dyDescent="0.25"/>
  <cols>
    <col min="1" max="1" width="15.140625" bestFit="1" customWidth="1"/>
    <col min="2" max="2" width="20.140625" bestFit="1" customWidth="1"/>
    <col min="4" max="4" width="11.28515625" bestFit="1" customWidth="1"/>
    <col min="5" max="5" width="20.140625" bestFit="1" customWidth="1"/>
    <col min="7" max="7" width="17.28515625" bestFit="1" customWidth="1"/>
    <col min="8" max="8" width="20.140625" bestFit="1" customWidth="1"/>
    <col min="9" max="9" width="15.28515625" bestFit="1" customWidth="1"/>
    <col min="10" max="10" width="17.42578125" bestFit="1" customWidth="1"/>
    <col min="11" max="11" width="20.140625" bestFit="1" customWidth="1"/>
    <col min="12" max="12" width="19" bestFit="1" customWidth="1"/>
    <col min="13" max="13" width="11.28515625" bestFit="1" customWidth="1"/>
    <col min="14" max="14" width="20.140625" bestFit="1" customWidth="1"/>
    <col min="15" max="15" width="19.42578125" bestFit="1" customWidth="1"/>
    <col min="16" max="16" width="19" bestFit="1" customWidth="1"/>
    <col min="17" max="17" width="20.140625" bestFit="1" customWidth="1"/>
    <col min="18" max="18" width="14.5703125" bestFit="1" customWidth="1"/>
    <col min="19" max="19" width="19.5703125" bestFit="1" customWidth="1"/>
    <col min="20" max="20" width="20.140625" bestFit="1" customWidth="1"/>
    <col min="21" max="21" width="14" bestFit="1" customWidth="1"/>
    <col min="22" max="22" width="12.28515625" bestFit="1" customWidth="1"/>
    <col min="23" max="23" width="20.140625" bestFit="1" customWidth="1"/>
    <col min="24" max="24" width="11.140625" bestFit="1" customWidth="1"/>
    <col min="25" max="25" width="19.5703125" bestFit="1" customWidth="1"/>
    <col min="26" max="26" width="20.140625" bestFit="1" customWidth="1"/>
    <col min="27" max="27" width="17.5703125" bestFit="1" customWidth="1"/>
    <col min="28" max="28" width="13.42578125" bestFit="1" customWidth="1"/>
    <col min="29" max="29" width="12" bestFit="1" customWidth="1"/>
    <col min="30" max="30" width="13.28515625" bestFit="1" customWidth="1"/>
    <col min="31" max="31" width="11.28515625" bestFit="1" customWidth="1"/>
  </cols>
  <sheetData>
    <row r="5" spans="1:26" x14ac:dyDescent="0.25">
      <c r="A5" s="23" t="s">
        <v>72</v>
      </c>
      <c r="D5" s="23" t="s">
        <v>71</v>
      </c>
      <c r="G5" s="23" t="s">
        <v>70</v>
      </c>
      <c r="J5" s="23" t="s">
        <v>69</v>
      </c>
      <c r="M5" s="23" t="s">
        <v>73</v>
      </c>
      <c r="P5" s="23" t="s">
        <v>75</v>
      </c>
    </row>
    <row r="6" spans="1:26" x14ac:dyDescent="0.25">
      <c r="A6" s="18" t="s">
        <v>58</v>
      </c>
      <c r="B6" t="s">
        <v>64</v>
      </c>
      <c r="D6" s="18" t="s">
        <v>1</v>
      </c>
      <c r="E6" t="s">
        <v>52</v>
      </c>
      <c r="G6" s="18" t="s">
        <v>59</v>
      </c>
      <c r="H6" t="s">
        <v>52</v>
      </c>
      <c r="J6" s="18" t="s">
        <v>7</v>
      </c>
      <c r="K6" t="s">
        <v>52</v>
      </c>
      <c r="M6" s="18" t="s">
        <v>63</v>
      </c>
      <c r="N6" t="s">
        <v>52</v>
      </c>
      <c r="P6" s="18" t="s">
        <v>74</v>
      </c>
      <c r="Q6" t="s">
        <v>52</v>
      </c>
      <c r="S6" s="23" t="s">
        <v>76</v>
      </c>
      <c r="V6" s="23" t="s">
        <v>67</v>
      </c>
      <c r="Y6" s="23" t="s">
        <v>76</v>
      </c>
    </row>
    <row r="7" spans="1:26" x14ac:dyDescent="0.25">
      <c r="A7" s="19" t="s">
        <v>32</v>
      </c>
      <c r="B7" s="20">
        <v>650000</v>
      </c>
      <c r="D7" s="19" t="s">
        <v>16</v>
      </c>
      <c r="E7" s="20">
        <v>79518498</v>
      </c>
      <c r="G7" s="19" t="s">
        <v>16</v>
      </c>
      <c r="H7" s="20">
        <v>79518498</v>
      </c>
      <c r="J7" s="19" t="s">
        <v>47</v>
      </c>
      <c r="K7" s="20">
        <v>2195000</v>
      </c>
      <c r="M7" s="19" t="s">
        <v>57</v>
      </c>
      <c r="N7" s="20">
        <v>130232447</v>
      </c>
      <c r="P7" s="19" t="s">
        <v>54</v>
      </c>
      <c r="Q7" s="20">
        <v>650000</v>
      </c>
      <c r="S7" s="18" t="s">
        <v>68</v>
      </c>
      <c r="T7" t="s">
        <v>52</v>
      </c>
      <c r="V7" s="18" t="s">
        <v>3</v>
      </c>
      <c r="W7" t="s">
        <v>52</v>
      </c>
      <c r="Y7" s="18" t="s">
        <v>68</v>
      </c>
      <c r="Z7" t="s">
        <v>52</v>
      </c>
    </row>
    <row r="8" spans="1:26" x14ac:dyDescent="0.25">
      <c r="A8" s="19" t="s">
        <v>31</v>
      </c>
      <c r="B8" s="20">
        <v>2850000</v>
      </c>
      <c r="D8" s="19" t="s">
        <v>13</v>
      </c>
      <c r="E8" s="20">
        <v>39490000</v>
      </c>
      <c r="G8" s="21" t="s">
        <v>57</v>
      </c>
      <c r="H8" s="20">
        <v>39750000</v>
      </c>
      <c r="J8" s="19" t="s">
        <v>12</v>
      </c>
      <c r="K8" s="20">
        <v>11480000</v>
      </c>
      <c r="M8" s="19" t="s">
        <v>56</v>
      </c>
      <c r="N8" s="20">
        <v>151290613</v>
      </c>
      <c r="P8" s="21" t="s">
        <v>40</v>
      </c>
      <c r="Q8" s="20">
        <v>650000</v>
      </c>
      <c r="S8" s="19" t="s">
        <v>83</v>
      </c>
      <c r="T8" s="20">
        <v>52282856</v>
      </c>
      <c r="V8" s="19" t="s">
        <v>25</v>
      </c>
      <c r="W8" s="20">
        <v>8954631</v>
      </c>
      <c r="Y8" s="19" t="s">
        <v>54</v>
      </c>
      <c r="Z8" s="20">
        <v>650000</v>
      </c>
    </row>
    <row r="9" spans="1:26" x14ac:dyDescent="0.25">
      <c r="A9" s="19" t="s">
        <v>33</v>
      </c>
      <c r="B9" s="20">
        <v>5250000</v>
      </c>
      <c r="D9" s="19" t="s">
        <v>8</v>
      </c>
      <c r="E9" s="20">
        <v>68129460</v>
      </c>
      <c r="G9" s="22" t="s">
        <v>78</v>
      </c>
      <c r="H9" s="20">
        <v>11165000</v>
      </c>
      <c r="J9" s="19" t="s">
        <v>41</v>
      </c>
      <c r="K9" s="20">
        <v>31715000</v>
      </c>
      <c r="M9" s="19" t="s">
        <v>77</v>
      </c>
      <c r="N9" s="20">
        <v>9250000</v>
      </c>
      <c r="P9" s="19" t="s">
        <v>38</v>
      </c>
      <c r="Q9" s="20">
        <v>25550000</v>
      </c>
      <c r="S9" s="19" t="s">
        <v>60</v>
      </c>
      <c r="T9" s="20">
        <v>64979591</v>
      </c>
      <c r="V9" s="19" t="s">
        <v>21</v>
      </c>
      <c r="W9" s="20">
        <v>134375000</v>
      </c>
      <c r="Y9" s="21" t="s">
        <v>40</v>
      </c>
      <c r="Z9" s="20">
        <v>650000</v>
      </c>
    </row>
    <row r="10" spans="1:26" x14ac:dyDescent="0.25">
      <c r="A10" s="19" t="s">
        <v>14</v>
      </c>
      <c r="B10" s="20">
        <v>18690000</v>
      </c>
      <c r="D10" s="19" t="s">
        <v>11</v>
      </c>
      <c r="E10" s="20">
        <v>115542487</v>
      </c>
      <c r="G10" s="22" t="s">
        <v>65</v>
      </c>
      <c r="H10" s="20">
        <v>19310000</v>
      </c>
      <c r="J10" s="19" t="s">
        <v>28</v>
      </c>
      <c r="K10" s="20">
        <v>15300000</v>
      </c>
      <c r="M10" s="19" t="s">
        <v>88</v>
      </c>
      <c r="N10" s="20">
        <v>11907385</v>
      </c>
      <c r="P10" s="21" t="s">
        <v>18</v>
      </c>
      <c r="Q10" s="20">
        <v>25550000</v>
      </c>
      <c r="S10" s="19" t="s">
        <v>84</v>
      </c>
      <c r="T10" s="20">
        <v>12970000</v>
      </c>
      <c r="V10" s="19" t="s">
        <v>23</v>
      </c>
      <c r="W10" s="20">
        <v>63689500</v>
      </c>
      <c r="Y10" s="19" t="s">
        <v>38</v>
      </c>
      <c r="Z10" s="20">
        <v>25550000</v>
      </c>
    </row>
    <row r="11" spans="1:26" x14ac:dyDescent="0.25">
      <c r="A11" s="19" t="s">
        <v>29</v>
      </c>
      <c r="B11" s="20">
        <v>20919960</v>
      </c>
      <c r="D11" s="19" t="s">
        <v>51</v>
      </c>
      <c r="E11" s="20">
        <v>302680445</v>
      </c>
      <c r="G11" s="22" t="s">
        <v>79</v>
      </c>
      <c r="H11" s="20">
        <v>9275000</v>
      </c>
      <c r="J11" s="19" t="s">
        <v>44</v>
      </c>
      <c r="K11" s="20">
        <v>17965000</v>
      </c>
      <c r="M11" s="19" t="s">
        <v>51</v>
      </c>
      <c r="N11" s="20">
        <v>302680445</v>
      </c>
      <c r="P11" s="19" t="s">
        <v>20</v>
      </c>
      <c r="Q11" s="20">
        <v>134375000</v>
      </c>
      <c r="S11" s="19" t="s">
        <v>85</v>
      </c>
      <c r="T11" s="20">
        <v>12690000</v>
      </c>
      <c r="V11" s="19" t="s">
        <v>10</v>
      </c>
      <c r="W11" s="20">
        <v>48231113</v>
      </c>
      <c r="Y11" s="21" t="s">
        <v>18</v>
      </c>
      <c r="Z11" s="20">
        <v>25550000</v>
      </c>
    </row>
    <row r="12" spans="1:26" x14ac:dyDescent="0.25">
      <c r="A12" s="19" t="s">
        <v>48</v>
      </c>
      <c r="B12" s="20">
        <v>28986113</v>
      </c>
      <c r="G12" s="21" t="s">
        <v>56</v>
      </c>
      <c r="H12" s="20">
        <v>28661113</v>
      </c>
      <c r="J12" s="19" t="s">
        <v>26</v>
      </c>
      <c r="K12" s="20">
        <v>31117487</v>
      </c>
      <c r="P12" s="21" t="s">
        <v>21</v>
      </c>
      <c r="Q12" s="20">
        <v>134375000</v>
      </c>
      <c r="S12" s="19" t="s">
        <v>61</v>
      </c>
      <c r="T12" s="20">
        <v>33676113</v>
      </c>
      <c r="V12" s="19" t="s">
        <v>40</v>
      </c>
      <c r="W12" s="20">
        <v>21880201</v>
      </c>
      <c r="Y12" s="19" t="s">
        <v>20</v>
      </c>
      <c r="Z12" s="20">
        <v>134375000</v>
      </c>
    </row>
    <row r="13" spans="1:26" x14ac:dyDescent="0.25">
      <c r="A13" s="19" t="s">
        <v>19</v>
      </c>
      <c r="B13" s="20">
        <v>36226885</v>
      </c>
      <c r="G13" s="22" t="s">
        <v>80</v>
      </c>
      <c r="H13" s="20">
        <v>2550000</v>
      </c>
      <c r="J13" s="19" t="s">
        <v>46</v>
      </c>
      <c r="K13" s="20">
        <v>23270000</v>
      </c>
      <c r="P13" s="19" t="s">
        <v>37</v>
      </c>
      <c r="Q13" s="20">
        <v>21230201</v>
      </c>
      <c r="S13" s="19" t="s">
        <v>62</v>
      </c>
      <c r="T13" s="20">
        <v>104924500</v>
      </c>
      <c r="V13" s="19" t="s">
        <v>18</v>
      </c>
      <c r="W13" s="20">
        <v>25550000</v>
      </c>
      <c r="Y13" s="21" t="s">
        <v>21</v>
      </c>
      <c r="Z13" s="20">
        <v>134375000</v>
      </c>
    </row>
    <row r="14" spans="1:26" x14ac:dyDescent="0.25">
      <c r="A14" s="19" t="s">
        <v>49</v>
      </c>
      <c r="B14" s="20">
        <v>42610000</v>
      </c>
      <c r="G14" s="22" t="s">
        <v>61</v>
      </c>
      <c r="H14" s="20">
        <v>16451113</v>
      </c>
      <c r="J14" s="19" t="s">
        <v>43</v>
      </c>
      <c r="K14" s="20">
        <v>10125000</v>
      </c>
      <c r="P14" s="21" t="s">
        <v>40</v>
      </c>
      <c r="Q14" s="20">
        <v>21230201</v>
      </c>
      <c r="S14" s="19" t="s">
        <v>86</v>
      </c>
      <c r="T14" s="20">
        <v>1400000</v>
      </c>
      <c r="V14" s="19" t="s">
        <v>51</v>
      </c>
      <c r="W14" s="20">
        <v>302680445</v>
      </c>
      <c r="Y14" s="19" t="s">
        <v>37</v>
      </c>
      <c r="Z14" s="20">
        <v>21230201</v>
      </c>
    </row>
    <row r="15" spans="1:26" x14ac:dyDescent="0.25">
      <c r="A15" s="19" t="s">
        <v>27</v>
      </c>
      <c r="B15" s="20">
        <v>58707487</v>
      </c>
      <c r="G15" s="22" t="s">
        <v>66</v>
      </c>
      <c r="H15" s="20">
        <v>9660000</v>
      </c>
      <c r="J15" s="19" t="s">
        <v>22</v>
      </c>
      <c r="K15" s="20">
        <v>12435000</v>
      </c>
      <c r="P15" s="19" t="s">
        <v>36</v>
      </c>
      <c r="Q15" s="20">
        <v>14331113</v>
      </c>
      <c r="S15" s="19" t="s">
        <v>87</v>
      </c>
      <c r="T15" s="20">
        <v>2850000</v>
      </c>
      <c r="Y15" s="21" t="s">
        <v>40</v>
      </c>
      <c r="Z15" s="20">
        <v>21230201</v>
      </c>
    </row>
    <row r="16" spans="1:26" x14ac:dyDescent="0.25">
      <c r="A16" s="19" t="s">
        <v>24</v>
      </c>
      <c r="B16" s="20">
        <v>87790000</v>
      </c>
      <c r="G16" s="21" t="s">
        <v>77</v>
      </c>
      <c r="H16" s="20">
        <v>7100000</v>
      </c>
      <c r="J16" s="19" t="s">
        <v>9</v>
      </c>
      <c r="K16" s="20">
        <v>27191113</v>
      </c>
      <c r="P16" s="21" t="s">
        <v>10</v>
      </c>
      <c r="Q16" s="20">
        <v>14331113</v>
      </c>
      <c r="S16" s="19" t="s">
        <v>93</v>
      </c>
      <c r="T16" s="20">
        <v>5000000</v>
      </c>
      <c r="Y16" s="19" t="s">
        <v>36</v>
      </c>
      <c r="Z16" s="20">
        <v>14331113</v>
      </c>
    </row>
    <row r="17" spans="1:26" x14ac:dyDescent="0.25">
      <c r="A17" s="19" t="s">
        <v>51</v>
      </c>
      <c r="B17" s="20">
        <v>302680445</v>
      </c>
      <c r="G17" s="22" t="s">
        <v>82</v>
      </c>
      <c r="H17" s="20">
        <v>2100000</v>
      </c>
      <c r="J17" s="19" t="s">
        <v>15</v>
      </c>
      <c r="K17" s="20">
        <v>89559500</v>
      </c>
      <c r="P17" s="19" t="s">
        <v>39</v>
      </c>
      <c r="Q17" s="20">
        <v>8954631</v>
      </c>
      <c r="S17" s="19" t="s">
        <v>94</v>
      </c>
      <c r="T17" s="20">
        <v>4560000</v>
      </c>
      <c r="Y17" s="21" t="s">
        <v>10</v>
      </c>
      <c r="Z17" s="20">
        <v>14331113</v>
      </c>
    </row>
    <row r="18" spans="1:26" x14ac:dyDescent="0.25">
      <c r="G18" s="22" t="s">
        <v>89</v>
      </c>
      <c r="H18" s="20">
        <v>5000000</v>
      </c>
      <c r="J18" s="19" t="s">
        <v>45</v>
      </c>
      <c r="K18" s="20">
        <v>12027385</v>
      </c>
      <c r="P18" s="21" t="s">
        <v>25</v>
      </c>
      <c r="Q18" s="20">
        <v>8954631</v>
      </c>
      <c r="S18" s="19" t="s">
        <v>95</v>
      </c>
      <c r="T18" s="20">
        <v>715000</v>
      </c>
      <c r="Y18" s="19" t="s">
        <v>39</v>
      </c>
      <c r="Z18" s="20">
        <v>8954631</v>
      </c>
    </row>
    <row r="19" spans="1:26" x14ac:dyDescent="0.25">
      <c r="G19" s="21" t="s">
        <v>88</v>
      </c>
      <c r="H19" s="20">
        <v>4007385</v>
      </c>
      <c r="J19" s="19" t="s">
        <v>34</v>
      </c>
      <c r="K19" s="20">
        <v>8064960</v>
      </c>
      <c r="P19" s="19" t="s">
        <v>17</v>
      </c>
      <c r="Q19" s="20">
        <v>33900000</v>
      </c>
      <c r="S19" s="19" t="s">
        <v>96</v>
      </c>
      <c r="T19" s="20">
        <v>6632385</v>
      </c>
      <c r="Y19" s="21" t="s">
        <v>25</v>
      </c>
      <c r="Z19" s="20">
        <v>8954631</v>
      </c>
    </row>
    <row r="20" spans="1:26" x14ac:dyDescent="0.25">
      <c r="G20" s="22" t="s">
        <v>90</v>
      </c>
      <c r="H20" s="20">
        <v>3325000</v>
      </c>
      <c r="J20" s="19" t="s">
        <v>42</v>
      </c>
      <c r="K20" s="20">
        <v>10235000</v>
      </c>
      <c r="P20" s="21" t="s">
        <v>10</v>
      </c>
      <c r="Q20" s="20">
        <v>33900000</v>
      </c>
      <c r="S20" s="19" t="s">
        <v>51</v>
      </c>
      <c r="T20" s="20">
        <v>302680445</v>
      </c>
      <c r="Y20" s="19" t="s">
        <v>17</v>
      </c>
      <c r="Z20" s="20">
        <v>33900000</v>
      </c>
    </row>
    <row r="21" spans="1:26" x14ac:dyDescent="0.25">
      <c r="G21" s="22" t="s">
        <v>91</v>
      </c>
      <c r="H21" s="20">
        <v>682385</v>
      </c>
      <c r="J21" s="19" t="s">
        <v>51</v>
      </c>
      <c r="K21" s="20">
        <v>302680445</v>
      </c>
      <c r="P21" s="19" t="s">
        <v>35</v>
      </c>
      <c r="Q21" s="20">
        <v>63689500</v>
      </c>
      <c r="Y21" s="21" t="s">
        <v>10</v>
      </c>
      <c r="Z21" s="20">
        <v>33900000</v>
      </c>
    </row>
    <row r="22" spans="1:26" x14ac:dyDescent="0.25">
      <c r="G22" s="19" t="s">
        <v>13</v>
      </c>
      <c r="H22" s="20">
        <v>39490000</v>
      </c>
      <c r="P22" s="21" t="s">
        <v>23</v>
      </c>
      <c r="Q22" s="20">
        <v>63689500</v>
      </c>
      <c r="Y22" s="19" t="s">
        <v>35</v>
      </c>
      <c r="Z22" s="20">
        <v>63689500</v>
      </c>
    </row>
    <row r="23" spans="1:26" x14ac:dyDescent="0.25">
      <c r="G23" s="21" t="s">
        <v>57</v>
      </c>
      <c r="H23" s="20">
        <v>22110000</v>
      </c>
      <c r="P23" s="19" t="s">
        <v>51</v>
      </c>
      <c r="Q23" s="20">
        <v>302680445</v>
      </c>
      <c r="Y23" s="21" t="s">
        <v>23</v>
      </c>
      <c r="Z23" s="20">
        <v>63689500</v>
      </c>
    </row>
    <row r="24" spans="1:26" x14ac:dyDescent="0.25">
      <c r="G24" s="22" t="s">
        <v>78</v>
      </c>
      <c r="H24" s="20">
        <v>16255000</v>
      </c>
      <c r="Y24" s="19" t="s">
        <v>51</v>
      </c>
      <c r="Z24" s="20">
        <v>302680445</v>
      </c>
    </row>
    <row r="25" spans="1:26" x14ac:dyDescent="0.25">
      <c r="G25" s="22" t="s">
        <v>65</v>
      </c>
      <c r="H25" s="20">
        <v>4235000</v>
      </c>
    </row>
    <row r="26" spans="1:26" x14ac:dyDescent="0.25">
      <c r="G26" s="22" t="s">
        <v>79</v>
      </c>
      <c r="H26" s="20">
        <v>1620000</v>
      </c>
    </row>
    <row r="27" spans="1:26" x14ac:dyDescent="0.25">
      <c r="G27" s="21" t="s">
        <v>56</v>
      </c>
      <c r="H27" s="20">
        <v>10325000</v>
      </c>
    </row>
    <row r="28" spans="1:26" x14ac:dyDescent="0.25">
      <c r="G28" s="22" t="s">
        <v>61</v>
      </c>
      <c r="H28" s="20">
        <v>5800000</v>
      </c>
    </row>
    <row r="29" spans="1:26" x14ac:dyDescent="0.25">
      <c r="G29" s="22" t="s">
        <v>66</v>
      </c>
      <c r="H29" s="20">
        <v>4525000</v>
      </c>
    </row>
    <row r="30" spans="1:26" x14ac:dyDescent="0.25">
      <c r="G30" s="21" t="s">
        <v>88</v>
      </c>
      <c r="H30" s="20">
        <v>7055000</v>
      </c>
    </row>
    <row r="31" spans="1:26" x14ac:dyDescent="0.25">
      <c r="G31" s="22" t="s">
        <v>90</v>
      </c>
      <c r="H31" s="20">
        <v>1105000</v>
      </c>
    </row>
    <row r="32" spans="1:26" x14ac:dyDescent="0.25">
      <c r="G32" s="22" t="s">
        <v>91</v>
      </c>
      <c r="H32" s="20">
        <v>5950000</v>
      </c>
    </row>
    <row r="33" spans="7:8" x14ac:dyDescent="0.25">
      <c r="G33" s="19" t="s">
        <v>8</v>
      </c>
      <c r="H33" s="20">
        <v>68129460</v>
      </c>
    </row>
    <row r="34" spans="7:8" x14ac:dyDescent="0.25">
      <c r="G34" s="21" t="s">
        <v>57</v>
      </c>
      <c r="H34" s="20">
        <v>27799960</v>
      </c>
    </row>
    <row r="35" spans="7:8" x14ac:dyDescent="0.25">
      <c r="G35" s="22" t="s">
        <v>78</v>
      </c>
      <c r="H35" s="20">
        <v>15140000</v>
      </c>
    </row>
    <row r="36" spans="7:8" x14ac:dyDescent="0.25">
      <c r="G36" s="22" t="s">
        <v>65</v>
      </c>
      <c r="H36" s="20">
        <v>10909960</v>
      </c>
    </row>
    <row r="37" spans="7:8" x14ac:dyDescent="0.25">
      <c r="G37" s="22" t="s">
        <v>79</v>
      </c>
      <c r="H37" s="20">
        <v>1750000</v>
      </c>
    </row>
    <row r="38" spans="7:8" x14ac:dyDescent="0.25">
      <c r="G38" s="21" t="s">
        <v>56</v>
      </c>
      <c r="H38" s="20">
        <v>38179500</v>
      </c>
    </row>
    <row r="39" spans="7:8" x14ac:dyDescent="0.25">
      <c r="G39" s="22" t="s">
        <v>80</v>
      </c>
      <c r="H39" s="20">
        <v>3340000</v>
      </c>
    </row>
    <row r="40" spans="7:8" x14ac:dyDescent="0.25">
      <c r="G40" s="22" t="s">
        <v>61</v>
      </c>
      <c r="H40" s="20">
        <v>2400000</v>
      </c>
    </row>
    <row r="41" spans="7:8" x14ac:dyDescent="0.25">
      <c r="G41" s="22" t="s">
        <v>66</v>
      </c>
      <c r="H41" s="20">
        <v>32439500</v>
      </c>
    </row>
    <row r="42" spans="7:8" x14ac:dyDescent="0.25">
      <c r="G42" s="21" t="s">
        <v>77</v>
      </c>
      <c r="H42" s="20">
        <v>2150000</v>
      </c>
    </row>
    <row r="43" spans="7:8" x14ac:dyDescent="0.25">
      <c r="G43" s="22" t="s">
        <v>81</v>
      </c>
      <c r="H43" s="20">
        <v>1400000</v>
      </c>
    </row>
    <row r="44" spans="7:8" x14ac:dyDescent="0.25">
      <c r="G44" s="22" t="s">
        <v>82</v>
      </c>
      <c r="H44" s="20">
        <v>750000</v>
      </c>
    </row>
    <row r="45" spans="7:8" x14ac:dyDescent="0.25">
      <c r="G45" s="19" t="s">
        <v>11</v>
      </c>
      <c r="H45" s="20">
        <v>115542487</v>
      </c>
    </row>
    <row r="46" spans="7:8" x14ac:dyDescent="0.25">
      <c r="G46" s="21" t="s">
        <v>57</v>
      </c>
      <c r="H46" s="20">
        <v>40572487</v>
      </c>
    </row>
    <row r="47" spans="7:8" x14ac:dyDescent="0.25">
      <c r="G47" s="22" t="s">
        <v>78</v>
      </c>
      <c r="H47" s="20">
        <v>9722856</v>
      </c>
    </row>
    <row r="48" spans="7:8" x14ac:dyDescent="0.25">
      <c r="G48" s="22" t="s">
        <v>65</v>
      </c>
      <c r="H48" s="20">
        <v>30524631</v>
      </c>
    </row>
    <row r="49" spans="7:8" x14ac:dyDescent="0.25">
      <c r="G49" s="22" t="s">
        <v>79</v>
      </c>
      <c r="H49" s="20">
        <v>325000</v>
      </c>
    </row>
    <row r="50" spans="7:8" x14ac:dyDescent="0.25">
      <c r="G50" s="21" t="s">
        <v>56</v>
      </c>
      <c r="H50" s="20">
        <v>74125000</v>
      </c>
    </row>
    <row r="51" spans="7:8" x14ac:dyDescent="0.25">
      <c r="G51" s="22" t="s">
        <v>80</v>
      </c>
      <c r="H51" s="20">
        <v>6800000</v>
      </c>
    </row>
    <row r="52" spans="7:8" x14ac:dyDescent="0.25">
      <c r="G52" s="22" t="s">
        <v>61</v>
      </c>
      <c r="H52" s="20">
        <v>9025000</v>
      </c>
    </row>
    <row r="53" spans="7:8" x14ac:dyDescent="0.25">
      <c r="G53" s="22" t="s">
        <v>66</v>
      </c>
      <c r="H53" s="20">
        <v>58300000</v>
      </c>
    </row>
    <row r="54" spans="7:8" x14ac:dyDescent="0.25">
      <c r="G54" s="21" t="s">
        <v>88</v>
      </c>
      <c r="H54" s="20">
        <v>845000</v>
      </c>
    </row>
    <row r="55" spans="7:8" x14ac:dyDescent="0.25">
      <c r="G55" s="22" t="s">
        <v>90</v>
      </c>
      <c r="H55" s="20">
        <v>130000</v>
      </c>
    </row>
    <row r="56" spans="7:8" x14ac:dyDescent="0.25">
      <c r="G56" s="22" t="s">
        <v>92</v>
      </c>
      <c r="H56" s="20">
        <v>715000</v>
      </c>
    </row>
    <row r="57" spans="7:8" x14ac:dyDescent="0.25">
      <c r="G57" s="19" t="s">
        <v>51</v>
      </c>
      <c r="H57" s="20">
        <v>302680445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2725E-9339-4F77-8C45-9956D2FA1559}">
  <sheetPr codeName="Sheet4"/>
  <dimension ref="K44:AA60"/>
  <sheetViews>
    <sheetView tabSelected="1" zoomScale="64" zoomScaleNormal="64" workbookViewId="0">
      <selection activeCell="AA11" sqref="AA11"/>
    </sheetView>
  </sheetViews>
  <sheetFormatPr defaultRowHeight="15" x14ac:dyDescent="0.25"/>
  <sheetData>
    <row r="44" spans="11:27" x14ac:dyDescent="0.25">
      <c r="K44" s="24"/>
      <c r="L44" s="24"/>
      <c r="M44" s="24"/>
      <c r="N44" s="24"/>
      <c r="O44" s="24"/>
      <c r="P44" s="24"/>
      <c r="Q44" s="24"/>
      <c r="R44" s="24"/>
      <c r="S44" s="24"/>
      <c r="T44" s="24"/>
      <c r="U44" s="24"/>
      <c r="V44" s="24"/>
      <c r="W44" s="24"/>
      <c r="X44" s="24"/>
      <c r="Y44" s="24"/>
      <c r="Z44" s="24"/>
      <c r="AA44" s="24"/>
    </row>
    <row r="45" spans="11:27" x14ac:dyDescent="0.25">
      <c r="K45" s="24"/>
      <c r="L45" s="24"/>
      <c r="M45" s="24"/>
      <c r="N45" s="24"/>
      <c r="O45" s="24"/>
      <c r="P45" s="24"/>
      <c r="Q45" s="24"/>
      <c r="R45" s="24"/>
      <c r="S45" s="24"/>
      <c r="T45" s="24"/>
      <c r="U45" s="24"/>
      <c r="V45" s="24"/>
      <c r="W45" s="24"/>
      <c r="X45" s="24"/>
      <c r="Y45" s="24"/>
      <c r="Z45" s="24"/>
      <c r="AA45" s="24"/>
    </row>
    <row r="46" spans="11:27" x14ac:dyDescent="0.25">
      <c r="K46" s="24"/>
      <c r="L46" s="24"/>
      <c r="M46" s="24"/>
      <c r="N46" s="24"/>
      <c r="O46" s="24"/>
      <c r="P46" s="24"/>
      <c r="Q46" s="24"/>
      <c r="R46" s="24"/>
      <c r="S46" s="24"/>
      <c r="T46" s="24"/>
      <c r="U46" s="24"/>
      <c r="V46" s="24"/>
      <c r="W46" s="24"/>
      <c r="X46" s="24"/>
      <c r="Y46" s="24"/>
      <c r="Z46" s="24"/>
      <c r="AA46" s="24"/>
    </row>
    <row r="47" spans="11:27" x14ac:dyDescent="0.25">
      <c r="K47" s="24"/>
      <c r="L47" s="24"/>
      <c r="M47" s="24"/>
      <c r="N47" s="24"/>
      <c r="O47" s="24"/>
      <c r="P47" s="24"/>
      <c r="Q47" s="24"/>
      <c r="R47" s="24"/>
      <c r="S47" s="24"/>
      <c r="T47" s="24"/>
      <c r="U47" s="24"/>
      <c r="V47" s="24"/>
      <c r="W47" s="24"/>
      <c r="X47" s="24"/>
      <c r="Y47" s="24"/>
      <c r="Z47" s="24"/>
      <c r="AA47" s="24"/>
    </row>
    <row r="48" spans="11:27" x14ac:dyDescent="0.25">
      <c r="K48" s="24"/>
      <c r="L48" s="24"/>
      <c r="M48" s="24"/>
      <c r="N48" s="24"/>
      <c r="O48" s="24"/>
      <c r="P48" s="24"/>
      <c r="Q48" s="24"/>
      <c r="R48" s="24"/>
      <c r="S48" s="24"/>
      <c r="T48" s="24"/>
      <c r="U48" s="24"/>
      <c r="V48" s="24"/>
      <c r="W48" s="24"/>
      <c r="X48" s="24"/>
      <c r="Y48" s="24"/>
      <c r="Z48" s="24"/>
      <c r="AA48" s="24"/>
    </row>
    <row r="49" spans="11:27" x14ac:dyDescent="0.25">
      <c r="K49" s="24"/>
      <c r="L49" s="24"/>
      <c r="M49" s="24"/>
      <c r="N49" s="24"/>
      <c r="O49" s="24"/>
      <c r="P49" s="24"/>
      <c r="Q49" s="24"/>
      <c r="R49" s="24"/>
      <c r="S49" s="24"/>
      <c r="T49" s="24"/>
      <c r="U49" s="24"/>
      <c r="V49" s="24"/>
      <c r="W49" s="24"/>
      <c r="X49" s="24"/>
      <c r="Y49" s="24"/>
      <c r="Z49" s="24"/>
      <c r="AA49" s="24"/>
    </row>
    <row r="50" spans="11:27" x14ac:dyDescent="0.25">
      <c r="K50" s="24"/>
      <c r="L50" s="24"/>
      <c r="M50" s="24"/>
      <c r="N50" s="24"/>
      <c r="O50" s="24"/>
      <c r="P50" s="24"/>
      <c r="Q50" s="24"/>
      <c r="R50" s="24"/>
      <c r="S50" s="24"/>
      <c r="T50" s="24"/>
      <c r="U50" s="24"/>
      <c r="V50" s="24"/>
      <c r="W50" s="24"/>
      <c r="X50" s="24"/>
      <c r="Y50" s="24"/>
      <c r="Z50" s="24"/>
      <c r="AA50" s="24"/>
    </row>
    <row r="51" spans="11:27" x14ac:dyDescent="0.25">
      <c r="K51" s="24"/>
      <c r="L51" s="24"/>
      <c r="M51" s="24"/>
      <c r="N51" s="24"/>
      <c r="O51" s="24"/>
      <c r="P51" s="24"/>
      <c r="Q51" s="24"/>
      <c r="R51" s="24"/>
      <c r="S51" s="24"/>
      <c r="T51" s="24"/>
      <c r="U51" s="24"/>
      <c r="V51" s="24"/>
      <c r="W51" s="24"/>
      <c r="X51" s="24"/>
      <c r="Y51" s="24"/>
      <c r="Z51" s="24"/>
      <c r="AA51" s="24"/>
    </row>
    <row r="52" spans="11:27" x14ac:dyDescent="0.25">
      <c r="K52" s="24"/>
      <c r="L52" s="24"/>
      <c r="M52" s="24"/>
      <c r="N52" s="24"/>
      <c r="O52" s="24"/>
      <c r="P52" s="24"/>
      <c r="Q52" s="24"/>
      <c r="R52" s="24"/>
      <c r="S52" s="24"/>
      <c r="T52" s="24"/>
      <c r="U52" s="24"/>
      <c r="V52" s="24"/>
      <c r="W52" s="24"/>
      <c r="X52" s="24"/>
      <c r="Y52" s="24"/>
      <c r="Z52" s="24"/>
      <c r="AA52" s="24"/>
    </row>
    <row r="53" spans="11:27" x14ac:dyDescent="0.25">
      <c r="K53" s="24"/>
      <c r="L53" s="24"/>
      <c r="M53" s="24"/>
      <c r="N53" s="24"/>
      <c r="O53" s="24"/>
      <c r="P53" s="24"/>
      <c r="Q53" s="24"/>
      <c r="R53" s="24"/>
      <c r="S53" s="24"/>
      <c r="T53" s="24"/>
      <c r="U53" s="24"/>
      <c r="V53" s="24"/>
      <c r="W53" s="24"/>
      <c r="X53" s="24"/>
      <c r="Y53" s="24"/>
      <c r="Z53" s="24"/>
      <c r="AA53" s="24"/>
    </row>
    <row r="54" spans="11:27" x14ac:dyDescent="0.25">
      <c r="K54" s="24"/>
      <c r="L54" s="24"/>
      <c r="M54" s="24"/>
      <c r="N54" s="24"/>
      <c r="O54" s="24"/>
      <c r="P54" s="24"/>
      <c r="Q54" s="24"/>
      <c r="R54" s="24"/>
      <c r="S54" s="24"/>
      <c r="T54" s="24"/>
      <c r="U54" s="24"/>
      <c r="V54" s="24"/>
      <c r="W54" s="24"/>
      <c r="X54" s="24"/>
      <c r="Y54" s="24"/>
      <c r="Z54" s="24"/>
      <c r="AA54" s="24"/>
    </row>
    <row r="55" spans="11:27" x14ac:dyDescent="0.25">
      <c r="K55" s="24"/>
      <c r="L55" s="24"/>
      <c r="M55" s="24"/>
      <c r="N55" s="24"/>
      <c r="O55" s="24"/>
      <c r="P55" s="24"/>
      <c r="Q55" s="24"/>
      <c r="R55" s="24"/>
      <c r="S55" s="24"/>
      <c r="T55" s="24"/>
      <c r="U55" s="24"/>
      <c r="V55" s="24"/>
      <c r="W55" s="24"/>
      <c r="X55" s="24"/>
      <c r="Y55" s="24"/>
      <c r="Z55" s="24"/>
      <c r="AA55" s="24"/>
    </row>
    <row r="56" spans="11:27" x14ac:dyDescent="0.25">
      <c r="K56" s="24"/>
      <c r="L56" s="24"/>
      <c r="M56" s="24"/>
      <c r="N56" s="24"/>
      <c r="O56" s="24"/>
      <c r="P56" s="24"/>
      <c r="Q56" s="24"/>
      <c r="R56" s="24"/>
      <c r="S56" s="24"/>
      <c r="T56" s="24"/>
      <c r="U56" s="24"/>
      <c r="V56" s="24"/>
      <c r="W56" s="24"/>
      <c r="X56" s="24"/>
      <c r="Y56" s="24"/>
      <c r="Z56" s="24"/>
      <c r="AA56" s="24"/>
    </row>
    <row r="57" spans="11:27" x14ac:dyDescent="0.25">
      <c r="K57" s="24"/>
      <c r="L57" s="24"/>
      <c r="M57" s="24"/>
      <c r="N57" s="24"/>
      <c r="O57" s="24"/>
      <c r="P57" s="24"/>
      <c r="Q57" s="24"/>
      <c r="R57" s="24"/>
      <c r="S57" s="24"/>
      <c r="T57" s="24"/>
      <c r="U57" s="24"/>
      <c r="V57" s="24"/>
      <c r="W57" s="24"/>
      <c r="X57" s="24"/>
      <c r="Y57" s="24"/>
      <c r="Z57" s="24"/>
      <c r="AA57" s="24"/>
    </row>
    <row r="58" spans="11:27" x14ac:dyDescent="0.25">
      <c r="K58" s="24"/>
      <c r="L58" s="24"/>
      <c r="M58" s="24"/>
      <c r="N58" s="24"/>
      <c r="O58" s="24"/>
      <c r="P58" s="24"/>
      <c r="Q58" s="24"/>
      <c r="R58" s="24"/>
      <c r="S58" s="24"/>
      <c r="T58" s="24"/>
      <c r="U58" s="24"/>
      <c r="V58" s="24"/>
      <c r="W58" s="24"/>
      <c r="X58" s="24"/>
      <c r="Y58" s="24"/>
      <c r="Z58" s="24"/>
      <c r="AA58" s="24"/>
    </row>
    <row r="59" spans="11:27" x14ac:dyDescent="0.25">
      <c r="K59" s="24"/>
      <c r="L59" s="24"/>
      <c r="M59" s="24"/>
      <c r="N59" s="24"/>
      <c r="O59" s="24"/>
      <c r="P59" s="24"/>
      <c r="Q59" s="24"/>
      <c r="R59" s="24"/>
      <c r="S59" s="24"/>
      <c r="T59" s="24"/>
      <c r="U59" s="24"/>
      <c r="V59" s="24"/>
      <c r="W59" s="24"/>
      <c r="X59" s="24"/>
      <c r="Y59" s="24"/>
      <c r="Z59" s="24"/>
      <c r="AA59" s="24"/>
    </row>
    <row r="60" spans="11:27" x14ac:dyDescent="0.25">
      <c r="K60" s="24"/>
      <c r="L60" s="24"/>
      <c r="M60" s="24"/>
      <c r="N60" s="24"/>
      <c r="O60" s="24"/>
      <c r="P60" s="24"/>
      <c r="Q60" s="24"/>
      <c r="R60" s="24"/>
      <c r="S60" s="24"/>
      <c r="T60" s="24"/>
      <c r="U60" s="24"/>
      <c r="V60" s="24"/>
      <c r="W60" s="24"/>
      <c r="X60" s="24"/>
      <c r="Y60" s="24"/>
      <c r="Z60" s="24"/>
      <c r="AA60"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K103"/>
  <sheetViews>
    <sheetView topLeftCell="B1" workbookViewId="0">
      <pane ySplit="1" topLeftCell="A2" activePane="bottomLeft" state="frozen"/>
      <selection pane="bottomLeft" activeCell="L3" sqref="L3"/>
    </sheetView>
  </sheetViews>
  <sheetFormatPr defaultRowHeight="15" x14ac:dyDescent="0.25"/>
  <cols>
    <col min="1" max="1" width="21.5703125" customWidth="1"/>
    <col min="2" max="9" width="18.85546875" customWidth="1"/>
    <col min="10" max="10" width="21.7109375" customWidth="1"/>
    <col min="11" max="11" width="20.85546875" customWidth="1"/>
    <col min="12" max="12" width="20.28515625" customWidth="1"/>
    <col min="13" max="13" width="24.85546875" customWidth="1"/>
  </cols>
  <sheetData>
    <row r="1" spans="1:11" x14ac:dyDescent="0.25">
      <c r="A1" s="17" t="s">
        <v>0</v>
      </c>
      <c r="B1" s="7" t="s">
        <v>2</v>
      </c>
      <c r="C1" s="7" t="s">
        <v>3</v>
      </c>
      <c r="D1" s="8" t="s">
        <v>4</v>
      </c>
      <c r="E1" s="9" t="s">
        <v>5</v>
      </c>
      <c r="F1" s="7" t="s">
        <v>6</v>
      </c>
      <c r="G1" s="10" t="s">
        <v>7</v>
      </c>
      <c r="H1" s="7" t="s">
        <v>50</v>
      </c>
      <c r="I1" s="7" t="s">
        <v>1</v>
      </c>
      <c r="J1" s="7" t="s">
        <v>55</v>
      </c>
      <c r="K1" s="7" t="s">
        <v>53</v>
      </c>
    </row>
    <row r="2" spans="1:11" x14ac:dyDescent="0.25">
      <c r="A2" s="14">
        <v>45821</v>
      </c>
      <c r="B2" s="1" t="s">
        <v>20</v>
      </c>
      <c r="C2" s="1" t="s">
        <v>21</v>
      </c>
      <c r="D2" s="1">
        <v>8</v>
      </c>
      <c r="E2" s="5">
        <v>2500000</v>
      </c>
      <c r="F2" s="5" t="s">
        <v>24</v>
      </c>
      <c r="G2" s="6" t="s">
        <v>41</v>
      </c>
      <c r="H2" s="15">
        <f>Table1[[#This Row],[Units Sold]]*Table1[[#This Row],[Unit Price]]</f>
        <v>20000000</v>
      </c>
      <c r="I2" t="s">
        <v>8</v>
      </c>
      <c r="J2" t="str">
        <f>"Q"&amp;ROUNDUP(MONTH(Table1[[#This Row],[Date]])/3,0)</f>
        <v>Q2</v>
      </c>
      <c r="K2" t="str">
        <f>TEXT(Table1[[#This Row],[Date]],"mmmm")</f>
        <v>June</v>
      </c>
    </row>
    <row r="3" spans="1:11" x14ac:dyDescent="0.25">
      <c r="A3" s="14">
        <v>45873</v>
      </c>
      <c r="B3" s="1" t="s">
        <v>35</v>
      </c>
      <c r="C3" s="1" t="s">
        <v>23</v>
      </c>
      <c r="D3" s="1">
        <v>6</v>
      </c>
      <c r="E3" s="5">
        <v>350000</v>
      </c>
      <c r="F3" s="1" t="s">
        <v>48</v>
      </c>
      <c r="G3" s="6" t="s">
        <v>9</v>
      </c>
      <c r="H3" s="5">
        <f>Table1[[#This Row],[Units Sold]]*Table1[[#This Row],[Unit Price]]</f>
        <v>2100000</v>
      </c>
      <c r="I3" t="s">
        <v>16</v>
      </c>
      <c r="J3" t="str">
        <f>"Q"&amp;ROUNDUP(MONTH(Table1[[#This Row],[Date]])/3,0)</f>
        <v>Q3</v>
      </c>
      <c r="K3" t="str">
        <f>TEXT(Table1[[#This Row],[Date]],"mmmm")</f>
        <v>August</v>
      </c>
    </row>
    <row r="4" spans="1:11" x14ac:dyDescent="0.25">
      <c r="A4" s="14">
        <v>45686</v>
      </c>
      <c r="B4" s="1" t="s">
        <v>36</v>
      </c>
      <c r="C4" s="1" t="s">
        <v>10</v>
      </c>
      <c r="D4" s="1">
        <v>14</v>
      </c>
      <c r="E4" s="5">
        <v>180000</v>
      </c>
      <c r="F4" s="1" t="s">
        <v>27</v>
      </c>
      <c r="G4" s="6" t="s">
        <v>42</v>
      </c>
      <c r="H4" s="5">
        <f>Table1[[#This Row],[Units Sold]]*Table1[[#This Row],[Unit Price]]</f>
        <v>2520000</v>
      </c>
      <c r="I4" t="s">
        <v>13</v>
      </c>
      <c r="J4" t="str">
        <f>"Q"&amp;ROUNDUP(MONTH(Table1[[#This Row],[Date]])/3,0)</f>
        <v>Q1</v>
      </c>
      <c r="K4" t="str">
        <f>TEXT(Table1[[#This Row],[Date]],"mmmm")</f>
        <v>January</v>
      </c>
    </row>
    <row r="5" spans="1:11" x14ac:dyDescent="0.25">
      <c r="A5" s="14">
        <v>45794</v>
      </c>
      <c r="B5" s="1" t="s">
        <v>37</v>
      </c>
      <c r="C5" s="1" t="s">
        <v>40</v>
      </c>
      <c r="D5" s="1">
        <v>18</v>
      </c>
      <c r="E5" s="5">
        <v>65000</v>
      </c>
      <c r="F5" s="1" t="s">
        <v>48</v>
      </c>
      <c r="G5" s="6" t="s">
        <v>46</v>
      </c>
      <c r="H5" s="5">
        <f>Table1[[#This Row],[Units Sold]]*Table1[[#This Row],[Unit Price]]</f>
        <v>1170000</v>
      </c>
      <c r="I5" t="s">
        <v>8</v>
      </c>
      <c r="J5" t="str">
        <f>"Q"&amp;ROUNDUP(MONTH(Table1[[#This Row],[Date]])/3,0)</f>
        <v>Q2</v>
      </c>
      <c r="K5" t="str">
        <f>TEXT(Table1[[#This Row],[Date]],"mmmm")</f>
        <v>May</v>
      </c>
    </row>
    <row r="6" spans="1:11" x14ac:dyDescent="0.25">
      <c r="A6" s="14">
        <v>45685</v>
      </c>
      <c r="B6" s="1" t="s">
        <v>36</v>
      </c>
      <c r="C6" s="1" t="s">
        <v>10</v>
      </c>
      <c r="D6" s="1">
        <v>5</v>
      </c>
      <c r="E6" s="5">
        <v>180000</v>
      </c>
      <c r="F6" s="1" t="s">
        <v>24</v>
      </c>
      <c r="G6" s="6" t="s">
        <v>28</v>
      </c>
      <c r="H6" s="5">
        <f>Table1[[#This Row],[Units Sold]]*Table1[[#This Row],[Unit Price]]</f>
        <v>900000</v>
      </c>
      <c r="I6" t="s">
        <v>11</v>
      </c>
      <c r="J6" t="str">
        <f>"Q"&amp;ROUNDUP(MONTH(Table1[[#This Row],[Date]])/3,0)</f>
        <v>Q1</v>
      </c>
      <c r="K6" t="str">
        <f>TEXT(Table1[[#This Row],[Date]],"mmmm")</f>
        <v>January</v>
      </c>
    </row>
    <row r="7" spans="1:11" x14ac:dyDescent="0.25">
      <c r="A7" s="16">
        <v>45803</v>
      </c>
      <c r="B7" s="1" t="s">
        <v>36</v>
      </c>
      <c r="C7" s="1" t="s">
        <v>10</v>
      </c>
      <c r="D7" s="1">
        <v>19</v>
      </c>
      <c r="E7" s="5">
        <v>157427</v>
      </c>
      <c r="F7" s="1" t="s">
        <v>48</v>
      </c>
      <c r="G7" s="6" t="s">
        <v>9</v>
      </c>
      <c r="H7" s="5">
        <f>Table1[[#This Row],[Units Sold]]*Table1[[#This Row],[Unit Price]]</f>
        <v>2991113</v>
      </c>
      <c r="I7" t="s">
        <v>16</v>
      </c>
      <c r="J7" t="str">
        <f>"Q"&amp;ROUNDUP(MONTH(Table1[[#This Row],[Date]])/3,0)</f>
        <v>Q2</v>
      </c>
      <c r="K7" t="str">
        <f>TEXT(Table1[[#This Row],[Date]],"mmmm")</f>
        <v>May</v>
      </c>
    </row>
    <row r="8" spans="1:11" x14ac:dyDescent="0.25">
      <c r="A8" s="14">
        <v>45783</v>
      </c>
      <c r="B8" s="1" t="s">
        <v>35</v>
      </c>
      <c r="C8" s="1" t="s">
        <v>23</v>
      </c>
      <c r="D8" s="1">
        <v>3</v>
      </c>
      <c r="E8" s="5">
        <v>350000</v>
      </c>
      <c r="F8" s="1" t="s">
        <v>14</v>
      </c>
      <c r="G8" s="6" t="s">
        <v>28</v>
      </c>
      <c r="H8" s="5">
        <f>Table1[[#This Row],[Units Sold]]*Table1[[#This Row],[Unit Price]]</f>
        <v>1050000</v>
      </c>
      <c r="I8" t="s">
        <v>11</v>
      </c>
      <c r="J8" t="str">
        <f>"Q"&amp;ROUNDUP(MONTH(Table1[[#This Row],[Date]])/3,0)</f>
        <v>Q2</v>
      </c>
      <c r="K8" t="str">
        <f>TEXT(Table1[[#This Row],[Date]],"mmmm")</f>
        <v>May</v>
      </c>
    </row>
    <row r="9" spans="1:11" x14ac:dyDescent="0.25">
      <c r="A9" s="14">
        <v>45932</v>
      </c>
      <c r="B9" s="1" t="s">
        <v>37</v>
      </c>
      <c r="C9" s="1" t="s">
        <v>40</v>
      </c>
      <c r="D9" s="1">
        <v>2</v>
      </c>
      <c r="E9" s="5">
        <v>65000</v>
      </c>
      <c r="F9" s="1" t="s">
        <v>24</v>
      </c>
      <c r="G9" s="6" t="s">
        <v>9</v>
      </c>
      <c r="H9" s="5">
        <f>Table1[[#This Row],[Units Sold]]*Table1[[#This Row],[Unit Price]]</f>
        <v>130000</v>
      </c>
      <c r="I9" t="s">
        <v>11</v>
      </c>
      <c r="J9" t="str">
        <f>"Q"&amp;ROUNDUP(MONTH(Table1[[#This Row],[Date]])/3,0)</f>
        <v>Q4</v>
      </c>
      <c r="K9" t="str">
        <f>TEXT(Table1[[#This Row],[Date]],"mmmm")</f>
        <v>October</v>
      </c>
    </row>
    <row r="10" spans="1:11" x14ac:dyDescent="0.25">
      <c r="A10" s="14">
        <v>45689</v>
      </c>
      <c r="B10" s="1" t="s">
        <v>38</v>
      </c>
      <c r="C10" s="1" t="s">
        <v>18</v>
      </c>
      <c r="D10" s="1">
        <v>14</v>
      </c>
      <c r="E10" s="5">
        <v>175000</v>
      </c>
      <c r="F10" s="1" t="s">
        <v>27</v>
      </c>
      <c r="G10" s="6" t="s">
        <v>41</v>
      </c>
      <c r="H10" s="5">
        <f>Table1[[#This Row],[Units Sold]]*Table1[[#This Row],[Unit Price]]</f>
        <v>2450000</v>
      </c>
      <c r="I10" t="s">
        <v>16</v>
      </c>
      <c r="J10" t="str">
        <f>"Q"&amp;ROUNDUP(MONTH(Table1[[#This Row],[Date]])/3,0)</f>
        <v>Q1</v>
      </c>
      <c r="K10" t="str">
        <f>TEXT(Table1[[#This Row],[Date]],"mmmm")</f>
        <v>February</v>
      </c>
    </row>
    <row r="11" spans="1:11" x14ac:dyDescent="0.25">
      <c r="A11" s="14">
        <v>45836</v>
      </c>
      <c r="B11" s="1" t="s">
        <v>17</v>
      </c>
      <c r="C11" s="1" t="s">
        <v>10</v>
      </c>
      <c r="D11" s="1">
        <v>4</v>
      </c>
      <c r="E11" s="5">
        <v>150000</v>
      </c>
      <c r="F11" s="1" t="s">
        <v>24</v>
      </c>
      <c r="G11" s="6" t="s">
        <v>12</v>
      </c>
      <c r="H11" s="5">
        <f>Table1[[#This Row],[Units Sold]]*Table1[[#This Row],[Unit Price]]</f>
        <v>600000</v>
      </c>
      <c r="I11" t="s">
        <v>11</v>
      </c>
      <c r="J11" t="str">
        <f>"Q"&amp;ROUNDUP(MONTH(Table1[[#This Row],[Date]])/3,0)</f>
        <v>Q2</v>
      </c>
      <c r="K11" t="str">
        <f>TEXT(Table1[[#This Row],[Date]],"mmmm")</f>
        <v>June</v>
      </c>
    </row>
    <row r="12" spans="1:11" x14ac:dyDescent="0.25">
      <c r="A12" s="14">
        <v>45765</v>
      </c>
      <c r="B12" s="1" t="s">
        <v>17</v>
      </c>
      <c r="C12" s="1" t="s">
        <v>10</v>
      </c>
      <c r="D12" s="1">
        <v>20</v>
      </c>
      <c r="E12" s="5">
        <v>150000</v>
      </c>
      <c r="F12" s="1" t="s">
        <v>27</v>
      </c>
      <c r="G12" s="6" t="s">
        <v>9</v>
      </c>
      <c r="H12" s="5">
        <f>Table1[[#This Row],[Units Sold]]*Table1[[#This Row],[Unit Price]]</f>
        <v>3000000</v>
      </c>
      <c r="I12" t="s">
        <v>8</v>
      </c>
      <c r="J12" t="str">
        <f>"Q"&amp;ROUNDUP(MONTH(Table1[[#This Row],[Date]])/3,0)</f>
        <v>Q2</v>
      </c>
      <c r="K12" t="str">
        <f>TEXT(Table1[[#This Row],[Date]],"mmmm")</f>
        <v>April</v>
      </c>
    </row>
    <row r="13" spans="1:11" x14ac:dyDescent="0.25">
      <c r="A13" s="14">
        <v>45713</v>
      </c>
      <c r="B13" s="1" t="s">
        <v>39</v>
      </c>
      <c r="C13" s="1" t="s">
        <v>25</v>
      </c>
      <c r="D13" s="1">
        <v>6</v>
      </c>
      <c r="E13" s="5">
        <v>85000</v>
      </c>
      <c r="F13" s="1" t="s">
        <v>14</v>
      </c>
      <c r="G13" s="6" t="s">
        <v>15</v>
      </c>
      <c r="H13" s="5">
        <f>Table1[[#This Row],[Units Sold]]*Table1[[#This Row],[Unit Price]]</f>
        <v>510000</v>
      </c>
      <c r="I13" t="s">
        <v>13</v>
      </c>
      <c r="J13" t="str">
        <f>"Q"&amp;ROUNDUP(MONTH(Table1[[#This Row],[Date]])/3,0)</f>
        <v>Q1</v>
      </c>
      <c r="K13" t="str">
        <f>TEXT(Table1[[#This Row],[Date]],"mmmm")</f>
        <v>February</v>
      </c>
    </row>
    <row r="14" spans="1:11" x14ac:dyDescent="0.25">
      <c r="A14" s="14">
        <v>45776</v>
      </c>
      <c r="B14" s="1" t="s">
        <v>17</v>
      </c>
      <c r="C14" s="1" t="s">
        <v>10</v>
      </c>
      <c r="D14" s="1">
        <v>1</v>
      </c>
      <c r="E14" s="5">
        <v>150000</v>
      </c>
      <c r="F14" s="1" t="s">
        <v>14</v>
      </c>
      <c r="G14" s="6" t="s">
        <v>43</v>
      </c>
      <c r="H14" s="5">
        <f>Table1[[#This Row],[Units Sold]]*Table1[[#This Row],[Unit Price]]</f>
        <v>150000</v>
      </c>
      <c r="I14" t="s">
        <v>11</v>
      </c>
      <c r="J14" t="str">
        <f>"Q"&amp;ROUNDUP(MONTH(Table1[[#This Row],[Date]])/3,0)</f>
        <v>Q2</v>
      </c>
      <c r="K14" t="str">
        <f>TEXT(Table1[[#This Row],[Date]],"mmmm")</f>
        <v>April</v>
      </c>
    </row>
    <row r="15" spans="1:11" x14ac:dyDescent="0.25">
      <c r="A15" s="14">
        <v>45690</v>
      </c>
      <c r="B15" s="1" t="s">
        <v>35</v>
      </c>
      <c r="C15" s="1" t="s">
        <v>23</v>
      </c>
      <c r="D15" s="1">
        <v>18</v>
      </c>
      <c r="E15" s="5">
        <v>35000</v>
      </c>
      <c r="F15" s="1" t="s">
        <v>19</v>
      </c>
      <c r="G15" s="6" t="s">
        <v>44</v>
      </c>
      <c r="H15" s="5">
        <f>Table1[[#This Row],[Units Sold]]*Table1[[#This Row],[Unit Price]]</f>
        <v>630000</v>
      </c>
      <c r="I15" t="s">
        <v>16</v>
      </c>
      <c r="J15" t="str">
        <f>"Q"&amp;ROUNDUP(MONTH(Table1[[#This Row],[Date]])/3,0)</f>
        <v>Q1</v>
      </c>
      <c r="K15" t="str">
        <f>TEXT(Table1[[#This Row],[Date]],"mmmm")</f>
        <v>February</v>
      </c>
    </row>
    <row r="16" spans="1:11" x14ac:dyDescent="0.25">
      <c r="A16" s="14">
        <v>45762</v>
      </c>
      <c r="B16" s="1" t="s">
        <v>39</v>
      </c>
      <c r="C16" s="1" t="s">
        <v>25</v>
      </c>
      <c r="D16" s="1">
        <v>2</v>
      </c>
      <c r="E16" s="5">
        <v>85000</v>
      </c>
      <c r="F16" s="1" t="s">
        <v>48</v>
      </c>
      <c r="G16" s="6" t="s">
        <v>41</v>
      </c>
      <c r="H16" s="5">
        <f>Table1[[#This Row],[Units Sold]]*Table1[[#This Row],[Unit Price]]</f>
        <v>170000</v>
      </c>
      <c r="I16" t="s">
        <v>8</v>
      </c>
      <c r="J16" t="str">
        <f>"Q"&amp;ROUNDUP(MONTH(Table1[[#This Row],[Date]])/3,0)</f>
        <v>Q2</v>
      </c>
      <c r="K16" t="str">
        <f>TEXT(Table1[[#This Row],[Date]],"mmmm")</f>
        <v>April</v>
      </c>
    </row>
    <row r="17" spans="1:11" x14ac:dyDescent="0.25">
      <c r="A17" s="14">
        <v>45997</v>
      </c>
      <c r="B17" s="1" t="s">
        <v>37</v>
      </c>
      <c r="C17" s="1" t="s">
        <v>40</v>
      </c>
      <c r="D17" s="1">
        <v>11</v>
      </c>
      <c r="E17" s="5">
        <v>62035</v>
      </c>
      <c r="F17" s="1" t="s">
        <v>19</v>
      </c>
      <c r="G17" s="6" t="s">
        <v>45</v>
      </c>
      <c r="H17" s="5">
        <f>Table1[[#This Row],[Units Sold]]*Table1[[#This Row],[Unit Price]]</f>
        <v>682385</v>
      </c>
      <c r="I17" t="s">
        <v>16</v>
      </c>
      <c r="J17" t="str">
        <f>"Q"&amp;ROUNDUP(MONTH(Table1[[#This Row],[Date]])/3,0)</f>
        <v>Q4</v>
      </c>
      <c r="K17" t="str">
        <f>TEXT(Table1[[#This Row],[Date]],"mmmm")</f>
        <v>December</v>
      </c>
    </row>
    <row r="18" spans="1:11" x14ac:dyDescent="0.25">
      <c r="A18" s="14">
        <v>45688</v>
      </c>
      <c r="B18" s="1" t="s">
        <v>38</v>
      </c>
      <c r="C18" s="1" t="s">
        <v>18</v>
      </c>
      <c r="D18" s="1">
        <v>10</v>
      </c>
      <c r="E18" s="5">
        <v>175000</v>
      </c>
      <c r="F18" s="1" t="s">
        <v>27</v>
      </c>
      <c r="G18" s="6" t="s">
        <v>15</v>
      </c>
      <c r="H18" s="5">
        <f>Table1[[#This Row],[Units Sold]]*Table1[[#This Row],[Unit Price]]</f>
        <v>1750000</v>
      </c>
      <c r="I18" t="s">
        <v>16</v>
      </c>
      <c r="J18" t="str">
        <f>"Q"&amp;ROUNDUP(MONTH(Table1[[#This Row],[Date]])/3,0)</f>
        <v>Q1</v>
      </c>
      <c r="K18" t="str">
        <f>TEXT(Table1[[#This Row],[Date]],"mmmm")</f>
        <v>January</v>
      </c>
    </row>
    <row r="19" spans="1:11" x14ac:dyDescent="0.25">
      <c r="A19" s="14">
        <v>45690</v>
      </c>
      <c r="B19" s="1" t="s">
        <v>17</v>
      </c>
      <c r="C19" s="1" t="s">
        <v>10</v>
      </c>
      <c r="D19" s="1">
        <v>4</v>
      </c>
      <c r="E19" s="5">
        <v>150000</v>
      </c>
      <c r="F19" s="1" t="s">
        <v>29</v>
      </c>
      <c r="G19" s="6" t="s">
        <v>46</v>
      </c>
      <c r="H19" s="5">
        <f>Table1[[#This Row],[Units Sold]]*Table1[[#This Row],[Unit Price]]</f>
        <v>600000</v>
      </c>
      <c r="I19" t="s">
        <v>11</v>
      </c>
      <c r="J19" t="str">
        <f>"Q"&amp;ROUNDUP(MONTH(Table1[[#This Row],[Date]])/3,0)</f>
        <v>Q1</v>
      </c>
      <c r="K19" t="str">
        <f>TEXT(Table1[[#This Row],[Date]],"mmmm")</f>
        <v>February</v>
      </c>
    </row>
    <row r="20" spans="1:11" x14ac:dyDescent="0.25">
      <c r="A20" s="14">
        <v>45802</v>
      </c>
      <c r="B20" s="1" t="s">
        <v>38</v>
      </c>
      <c r="C20" s="1" t="s">
        <v>18</v>
      </c>
      <c r="D20" s="1">
        <v>3</v>
      </c>
      <c r="E20" s="5">
        <v>175000</v>
      </c>
      <c r="F20" s="1" t="s">
        <v>49</v>
      </c>
      <c r="G20" s="6" t="s">
        <v>26</v>
      </c>
      <c r="H20" s="5">
        <f>Table1[[#This Row],[Units Sold]]*Table1[[#This Row],[Unit Price]]</f>
        <v>525000</v>
      </c>
      <c r="I20" t="s">
        <v>11</v>
      </c>
      <c r="J20" t="str">
        <f>"Q"&amp;ROUNDUP(MONTH(Table1[[#This Row],[Date]])/3,0)</f>
        <v>Q2</v>
      </c>
      <c r="K20" t="str">
        <f>TEXT(Table1[[#This Row],[Date]],"mmmm")</f>
        <v>May</v>
      </c>
    </row>
    <row r="21" spans="1:11" x14ac:dyDescent="0.25">
      <c r="A21" s="14">
        <v>45714</v>
      </c>
      <c r="B21" s="1" t="s">
        <v>38</v>
      </c>
      <c r="C21" s="1" t="s">
        <v>18</v>
      </c>
      <c r="D21" s="1">
        <v>5</v>
      </c>
      <c r="E21" s="5">
        <v>175000</v>
      </c>
      <c r="F21" s="1" t="s">
        <v>19</v>
      </c>
      <c r="G21" s="6" t="s">
        <v>26</v>
      </c>
      <c r="H21" s="5">
        <f>Table1[[#This Row],[Units Sold]]*Table1[[#This Row],[Unit Price]]</f>
        <v>875000</v>
      </c>
      <c r="I21" t="s">
        <v>13</v>
      </c>
      <c r="J21" t="str">
        <f>"Q"&amp;ROUNDUP(MONTH(Table1[[#This Row],[Date]])/3,0)</f>
        <v>Q1</v>
      </c>
      <c r="K21" t="str">
        <f>TEXT(Table1[[#This Row],[Date]],"mmmm")</f>
        <v>February</v>
      </c>
    </row>
    <row r="22" spans="1:11" x14ac:dyDescent="0.25">
      <c r="A22" s="14">
        <v>45812</v>
      </c>
      <c r="B22" s="1" t="s">
        <v>20</v>
      </c>
      <c r="C22" s="1" t="s">
        <v>21</v>
      </c>
      <c r="D22" s="1">
        <v>20</v>
      </c>
      <c r="E22" s="5">
        <v>250000</v>
      </c>
      <c r="F22" s="1" t="s">
        <v>49</v>
      </c>
      <c r="G22" s="6" t="s">
        <v>9</v>
      </c>
      <c r="H22" s="5">
        <f>Table1[[#This Row],[Units Sold]]*Table1[[#This Row],[Unit Price]]</f>
        <v>5000000</v>
      </c>
      <c r="I22" t="s">
        <v>16</v>
      </c>
      <c r="J22" t="str">
        <f>"Q"&amp;ROUNDUP(MONTH(Table1[[#This Row],[Date]])/3,0)</f>
        <v>Q2</v>
      </c>
      <c r="K22" t="str">
        <f>TEXT(Table1[[#This Row],[Date]],"mmmm")</f>
        <v>June</v>
      </c>
    </row>
    <row r="23" spans="1:11" x14ac:dyDescent="0.25">
      <c r="A23" s="14">
        <v>45712</v>
      </c>
      <c r="B23" s="1" t="s">
        <v>38</v>
      </c>
      <c r="C23" s="1" t="s">
        <v>18</v>
      </c>
      <c r="D23" s="1">
        <v>2</v>
      </c>
      <c r="E23" s="5">
        <v>175000</v>
      </c>
      <c r="F23" s="1" t="s">
        <v>24</v>
      </c>
      <c r="G23" s="6" t="s">
        <v>44</v>
      </c>
      <c r="H23" s="5">
        <f>Table1[[#This Row],[Units Sold]]*Table1[[#This Row],[Unit Price]]</f>
        <v>350000</v>
      </c>
      <c r="I23" t="s">
        <v>16</v>
      </c>
      <c r="J23" t="str">
        <f>"Q"&amp;ROUNDUP(MONTH(Table1[[#This Row],[Date]])/3,0)</f>
        <v>Q1</v>
      </c>
      <c r="K23" t="str">
        <f>TEXT(Table1[[#This Row],[Date]],"mmmm")</f>
        <v>February</v>
      </c>
    </row>
    <row r="24" spans="1:11" x14ac:dyDescent="0.25">
      <c r="A24" s="14">
        <v>45740</v>
      </c>
      <c r="B24" s="1" t="s">
        <v>17</v>
      </c>
      <c r="C24" s="1" t="s">
        <v>10</v>
      </c>
      <c r="D24" s="1">
        <v>20</v>
      </c>
      <c r="E24" s="5">
        <v>150000</v>
      </c>
      <c r="F24" s="1" t="s">
        <v>27</v>
      </c>
      <c r="G24" s="6" t="s">
        <v>22</v>
      </c>
      <c r="H24" s="5">
        <f>Table1[[#This Row],[Units Sold]]*Table1[[#This Row],[Unit Price]]</f>
        <v>3000000</v>
      </c>
      <c r="I24" t="s">
        <v>16</v>
      </c>
      <c r="J24" t="str">
        <f>"Q"&amp;ROUNDUP(MONTH(Table1[[#This Row],[Date]])/3,0)</f>
        <v>Q1</v>
      </c>
      <c r="K24" t="str">
        <f>TEXT(Table1[[#This Row],[Date]],"mmmm")</f>
        <v>March</v>
      </c>
    </row>
    <row r="25" spans="1:11" x14ac:dyDescent="0.25">
      <c r="A25" s="14">
        <v>45805</v>
      </c>
      <c r="B25" s="1" t="s">
        <v>17</v>
      </c>
      <c r="C25" s="1" t="s">
        <v>10</v>
      </c>
      <c r="D25" s="1">
        <v>8</v>
      </c>
      <c r="E25" s="5">
        <v>150000</v>
      </c>
      <c r="F25" s="1" t="s">
        <v>48</v>
      </c>
      <c r="G25" s="6" t="s">
        <v>15</v>
      </c>
      <c r="H25" s="5">
        <f>Table1[[#This Row],[Units Sold]]*Table1[[#This Row],[Unit Price]]</f>
        <v>1200000</v>
      </c>
      <c r="I25" t="s">
        <v>13</v>
      </c>
      <c r="J25" t="str">
        <f>"Q"&amp;ROUNDUP(MONTH(Table1[[#This Row],[Date]])/3,0)</f>
        <v>Q2</v>
      </c>
      <c r="K25" t="str">
        <f>TEXT(Table1[[#This Row],[Date]],"mmmm")</f>
        <v>May</v>
      </c>
    </row>
    <row r="26" spans="1:11" x14ac:dyDescent="0.25">
      <c r="A26" s="14">
        <v>45789</v>
      </c>
      <c r="B26" s="1" t="s">
        <v>20</v>
      </c>
      <c r="C26" s="1" t="s">
        <v>21</v>
      </c>
      <c r="D26" s="1">
        <v>19</v>
      </c>
      <c r="E26" s="5">
        <v>250000</v>
      </c>
      <c r="F26" s="1" t="s">
        <v>49</v>
      </c>
      <c r="G26" s="6" t="s">
        <v>26</v>
      </c>
      <c r="H26" s="5">
        <f>Table1[[#This Row],[Units Sold]]*Table1[[#This Row],[Unit Price]]</f>
        <v>4750000</v>
      </c>
      <c r="I26" t="s">
        <v>11</v>
      </c>
      <c r="J26" t="str">
        <f>"Q"&amp;ROUNDUP(MONTH(Table1[[#This Row],[Date]])/3,0)</f>
        <v>Q2</v>
      </c>
      <c r="K26" t="str">
        <f>TEXT(Table1[[#This Row],[Date]],"mmmm")</f>
        <v>May</v>
      </c>
    </row>
    <row r="27" spans="1:11" x14ac:dyDescent="0.25">
      <c r="A27" s="14">
        <v>45788</v>
      </c>
      <c r="B27" s="1" t="s">
        <v>38</v>
      </c>
      <c r="C27" s="1" t="s">
        <v>18</v>
      </c>
      <c r="D27" s="1">
        <v>12</v>
      </c>
      <c r="E27" s="5">
        <v>175000</v>
      </c>
      <c r="F27" s="1" t="s">
        <v>19</v>
      </c>
      <c r="G27" s="6" t="s">
        <v>15</v>
      </c>
      <c r="H27" s="5">
        <f>Table1[[#This Row],[Units Sold]]*Table1[[#This Row],[Unit Price]]</f>
        <v>2100000</v>
      </c>
      <c r="I27" t="s">
        <v>16</v>
      </c>
      <c r="J27" t="str">
        <f>"Q"&amp;ROUNDUP(MONTH(Table1[[#This Row],[Date]])/3,0)</f>
        <v>Q2</v>
      </c>
      <c r="K27" t="str">
        <f>TEXT(Table1[[#This Row],[Date]],"mmmm")</f>
        <v>May</v>
      </c>
    </row>
    <row r="28" spans="1:11" x14ac:dyDescent="0.25">
      <c r="A28" s="14">
        <v>45673</v>
      </c>
      <c r="B28" s="1" t="s">
        <v>39</v>
      </c>
      <c r="C28" s="1" t="s">
        <v>25</v>
      </c>
      <c r="D28" s="1">
        <v>11</v>
      </c>
      <c r="E28" s="5">
        <v>85000</v>
      </c>
      <c r="F28" s="1" t="s">
        <v>49</v>
      </c>
      <c r="G28" s="6" t="s">
        <v>26</v>
      </c>
      <c r="H28" s="5">
        <f>Table1[[#This Row],[Units Sold]]*Table1[[#This Row],[Unit Price]]</f>
        <v>935000</v>
      </c>
      <c r="I28" t="s">
        <v>13</v>
      </c>
      <c r="J28" t="str">
        <f>"Q"&amp;ROUNDUP(MONTH(Table1[[#This Row],[Date]])/3,0)</f>
        <v>Q1</v>
      </c>
      <c r="K28" t="str">
        <f>TEXT(Table1[[#This Row],[Date]],"mmmm")</f>
        <v>January</v>
      </c>
    </row>
    <row r="29" spans="1:11" x14ac:dyDescent="0.25">
      <c r="A29" s="14">
        <v>45935</v>
      </c>
      <c r="B29" s="1" t="s">
        <v>37</v>
      </c>
      <c r="C29" s="1" t="s">
        <v>40</v>
      </c>
      <c r="D29" s="1">
        <v>17</v>
      </c>
      <c r="E29" s="5">
        <v>65000</v>
      </c>
      <c r="F29" s="1" t="s">
        <v>19</v>
      </c>
      <c r="G29" s="6" t="s">
        <v>43</v>
      </c>
      <c r="H29" s="5">
        <f>Table1[[#This Row],[Units Sold]]*Table1[[#This Row],[Unit Price]]</f>
        <v>1105000</v>
      </c>
      <c r="I29" t="s">
        <v>13</v>
      </c>
      <c r="J29" t="str">
        <f>"Q"&amp;ROUNDUP(MONTH(Table1[[#This Row],[Date]])/3,0)</f>
        <v>Q4</v>
      </c>
      <c r="K29" t="str">
        <f>TEXT(Table1[[#This Row],[Date]],"mmmm")</f>
        <v>October</v>
      </c>
    </row>
    <row r="30" spans="1:11" x14ac:dyDescent="0.25">
      <c r="A30" s="14">
        <v>45659</v>
      </c>
      <c r="B30" s="1" t="s">
        <v>35</v>
      </c>
      <c r="C30" s="1" t="s">
        <v>23</v>
      </c>
      <c r="D30" s="1">
        <v>15</v>
      </c>
      <c r="E30" s="5">
        <v>350000</v>
      </c>
      <c r="F30" s="1" t="s">
        <v>33</v>
      </c>
      <c r="G30" s="6" t="s">
        <v>42</v>
      </c>
      <c r="H30" s="5">
        <f>Table1[[#This Row],[Units Sold]]*Table1[[#This Row],[Unit Price]]</f>
        <v>5250000</v>
      </c>
      <c r="I30" t="s">
        <v>8</v>
      </c>
      <c r="J30" t="str">
        <f>"Q"&amp;ROUNDUP(MONTH(Table1[[#This Row],[Date]])/3,0)</f>
        <v>Q1</v>
      </c>
      <c r="K30" t="str">
        <f>TEXT(Table1[[#This Row],[Date]],"mmmm")</f>
        <v>January</v>
      </c>
    </row>
    <row r="31" spans="1:11" x14ac:dyDescent="0.25">
      <c r="A31" s="14">
        <v>45810</v>
      </c>
      <c r="B31" s="1" t="s">
        <v>35</v>
      </c>
      <c r="C31" s="1" t="s">
        <v>23</v>
      </c>
      <c r="D31" s="1">
        <v>8</v>
      </c>
      <c r="E31" s="5">
        <v>350000</v>
      </c>
      <c r="F31" s="1" t="s">
        <v>24</v>
      </c>
      <c r="G31" s="6" t="s">
        <v>26</v>
      </c>
      <c r="H31" s="5">
        <f>Table1[[#This Row],[Units Sold]]*Table1[[#This Row],[Unit Price]]</f>
        <v>2800000</v>
      </c>
      <c r="I31" t="s">
        <v>11</v>
      </c>
      <c r="J31" t="str">
        <f>"Q"&amp;ROUNDUP(MONTH(Table1[[#This Row],[Date]])/3,0)</f>
        <v>Q2</v>
      </c>
      <c r="K31" t="str">
        <f>TEXT(Table1[[#This Row],[Date]],"mmmm")</f>
        <v>June</v>
      </c>
    </row>
    <row r="32" spans="1:11" x14ac:dyDescent="0.25">
      <c r="A32" s="14">
        <v>45825</v>
      </c>
      <c r="B32" s="1" t="s">
        <v>35</v>
      </c>
      <c r="C32" s="1" t="s">
        <v>23</v>
      </c>
      <c r="D32" s="1">
        <v>14</v>
      </c>
      <c r="E32" s="5">
        <v>350000</v>
      </c>
      <c r="F32" s="1" t="s">
        <v>19</v>
      </c>
      <c r="G32" s="6" t="s">
        <v>34</v>
      </c>
      <c r="H32" s="5">
        <f>Table1[[#This Row],[Units Sold]]*Table1[[#This Row],[Unit Price]]</f>
        <v>4900000</v>
      </c>
      <c r="I32" t="s">
        <v>11</v>
      </c>
      <c r="J32" t="str">
        <f>"Q"&amp;ROUNDUP(MONTH(Table1[[#This Row],[Date]])/3,0)</f>
        <v>Q2</v>
      </c>
      <c r="K32" t="str">
        <f>TEXT(Table1[[#This Row],[Date]],"mmmm")</f>
        <v>June</v>
      </c>
    </row>
    <row r="33" spans="1:11" x14ac:dyDescent="0.25">
      <c r="A33" s="14">
        <v>45666</v>
      </c>
      <c r="B33" s="1" t="s">
        <v>17</v>
      </c>
      <c r="C33" s="1" t="s">
        <v>10</v>
      </c>
      <c r="D33" s="1">
        <v>12</v>
      </c>
      <c r="E33" s="5">
        <v>150000</v>
      </c>
      <c r="F33" s="1" t="s">
        <v>27</v>
      </c>
      <c r="G33" s="6" t="s">
        <v>12</v>
      </c>
      <c r="H33" s="5">
        <f>Table1[[#This Row],[Units Sold]]*Table1[[#This Row],[Unit Price]]</f>
        <v>1800000</v>
      </c>
      <c r="I33" t="s">
        <v>16</v>
      </c>
      <c r="J33" t="str">
        <f>"Q"&amp;ROUNDUP(MONTH(Table1[[#This Row],[Date]])/3,0)</f>
        <v>Q1</v>
      </c>
      <c r="K33" t="str">
        <f>TEXT(Table1[[#This Row],[Date]],"mmmm")</f>
        <v>January</v>
      </c>
    </row>
    <row r="34" spans="1:11" x14ac:dyDescent="0.25">
      <c r="A34" s="14">
        <v>45837</v>
      </c>
      <c r="B34" s="1" t="s">
        <v>38</v>
      </c>
      <c r="C34" s="1" t="s">
        <v>18</v>
      </c>
      <c r="D34" s="1">
        <v>8</v>
      </c>
      <c r="E34" s="5">
        <v>175000</v>
      </c>
      <c r="F34" s="1" t="s">
        <v>24</v>
      </c>
      <c r="G34" s="6" t="s">
        <v>12</v>
      </c>
      <c r="H34" s="5">
        <f>Table1[[#This Row],[Units Sold]]*Table1[[#This Row],[Unit Price]]</f>
        <v>1400000</v>
      </c>
      <c r="I34" t="s">
        <v>13</v>
      </c>
      <c r="J34" t="str">
        <f>"Q"&amp;ROUNDUP(MONTH(Table1[[#This Row],[Date]])/3,0)</f>
        <v>Q2</v>
      </c>
      <c r="K34" t="str">
        <f>TEXT(Table1[[#This Row],[Date]],"mmmm")</f>
        <v>June</v>
      </c>
    </row>
    <row r="35" spans="1:11" x14ac:dyDescent="0.25">
      <c r="A35" s="14">
        <v>45660</v>
      </c>
      <c r="B35" s="1" t="s">
        <v>17</v>
      </c>
      <c r="C35" s="1" t="s">
        <v>10</v>
      </c>
      <c r="D35" s="1">
        <v>6</v>
      </c>
      <c r="E35" s="5">
        <v>150000</v>
      </c>
      <c r="F35" s="1" t="s">
        <v>24</v>
      </c>
      <c r="G35" s="6" t="s">
        <v>26</v>
      </c>
      <c r="H35" s="5">
        <f>Table1[[#This Row],[Units Sold]]*Table1[[#This Row],[Unit Price]]</f>
        <v>900000</v>
      </c>
      <c r="I35" t="s">
        <v>8</v>
      </c>
      <c r="J35" t="str">
        <f>"Q"&amp;ROUNDUP(MONTH(Table1[[#This Row],[Date]])/3,0)</f>
        <v>Q1</v>
      </c>
      <c r="K35" t="str">
        <f>TEXT(Table1[[#This Row],[Date]],"mmmm")</f>
        <v>January</v>
      </c>
    </row>
    <row r="36" spans="1:11" x14ac:dyDescent="0.25">
      <c r="A36" s="14">
        <v>45810</v>
      </c>
      <c r="B36" s="1" t="s">
        <v>20</v>
      </c>
      <c r="C36" s="1" t="s">
        <v>21</v>
      </c>
      <c r="D36" s="1">
        <v>20</v>
      </c>
      <c r="E36" s="5">
        <v>2500000</v>
      </c>
      <c r="F36" s="1" t="s">
        <v>24</v>
      </c>
      <c r="G36" s="6" t="s">
        <v>15</v>
      </c>
      <c r="H36" s="5">
        <f>Table1[[#This Row],[Units Sold]]*Table1[[#This Row],[Unit Price]]</f>
        <v>50000000</v>
      </c>
      <c r="I36" t="s">
        <v>11</v>
      </c>
      <c r="J36" t="str">
        <f>"Q"&amp;ROUNDUP(MONTH(Table1[[#This Row],[Date]])/3,0)</f>
        <v>Q2</v>
      </c>
      <c r="K36" t="str">
        <f>TEXT(Table1[[#This Row],[Date]],"mmmm")</f>
        <v>June</v>
      </c>
    </row>
    <row r="37" spans="1:11" x14ac:dyDescent="0.25">
      <c r="A37" s="14">
        <v>45812</v>
      </c>
      <c r="B37" s="1" t="s">
        <v>37</v>
      </c>
      <c r="C37" s="1" t="s">
        <v>40</v>
      </c>
      <c r="D37" s="1">
        <v>12</v>
      </c>
      <c r="E37" s="5">
        <v>65000</v>
      </c>
      <c r="F37" s="1" t="s">
        <v>24</v>
      </c>
      <c r="G37" s="6" t="s">
        <v>22</v>
      </c>
      <c r="H37" s="5">
        <f>Table1[[#This Row],[Units Sold]]*Table1[[#This Row],[Unit Price]]</f>
        <v>780000</v>
      </c>
      <c r="I37" t="s">
        <v>8</v>
      </c>
      <c r="J37" t="str">
        <f>"Q"&amp;ROUNDUP(MONTH(Table1[[#This Row],[Date]])/3,0)</f>
        <v>Q2</v>
      </c>
      <c r="K37" t="str">
        <f>TEXT(Table1[[#This Row],[Date]],"mmmm")</f>
        <v>June</v>
      </c>
    </row>
    <row r="38" spans="1:11" x14ac:dyDescent="0.25">
      <c r="A38" s="14">
        <v>45695</v>
      </c>
      <c r="B38" s="1" t="s">
        <v>37</v>
      </c>
      <c r="C38" s="1" t="s">
        <v>40</v>
      </c>
      <c r="D38" s="1">
        <v>4</v>
      </c>
      <c r="E38" s="5">
        <v>73740</v>
      </c>
      <c r="F38" s="1" t="s">
        <v>29</v>
      </c>
      <c r="G38" s="6" t="s">
        <v>34</v>
      </c>
      <c r="H38" s="5">
        <f>Table1[[#This Row],[Units Sold]]*Table1[[#This Row],[Unit Price]]</f>
        <v>294960</v>
      </c>
      <c r="I38" t="s">
        <v>8</v>
      </c>
      <c r="J38" t="str">
        <f>"Q"&amp;ROUNDUP(MONTH(Table1[[#This Row],[Date]])/3,0)</f>
        <v>Q1</v>
      </c>
      <c r="K38" t="str">
        <f>TEXT(Table1[[#This Row],[Date]],"mmmm")</f>
        <v>February</v>
      </c>
    </row>
    <row r="39" spans="1:11" x14ac:dyDescent="0.25">
      <c r="A39" s="14">
        <v>45723</v>
      </c>
      <c r="B39" s="1" t="s">
        <v>38</v>
      </c>
      <c r="C39" s="1" t="s">
        <v>18</v>
      </c>
      <c r="D39" s="1">
        <v>18</v>
      </c>
      <c r="E39" s="5">
        <v>175000</v>
      </c>
      <c r="F39" s="1" t="s">
        <v>49</v>
      </c>
      <c r="G39" s="6" t="s">
        <v>41</v>
      </c>
      <c r="H39" s="5">
        <f>Table1[[#This Row],[Units Sold]]*Table1[[#This Row],[Unit Price]]</f>
        <v>3150000</v>
      </c>
      <c r="I39" t="s">
        <v>16</v>
      </c>
      <c r="J39" t="str">
        <f>"Q"&amp;ROUNDUP(MONTH(Table1[[#This Row],[Date]])/3,0)</f>
        <v>Q1</v>
      </c>
      <c r="K39" t="str">
        <f>TEXT(Table1[[#This Row],[Date]],"mmmm")</f>
        <v>March</v>
      </c>
    </row>
    <row r="40" spans="1:11" x14ac:dyDescent="0.25">
      <c r="A40" s="14">
        <v>45784</v>
      </c>
      <c r="B40" s="1" t="s">
        <v>36</v>
      </c>
      <c r="C40" s="1" t="s">
        <v>10</v>
      </c>
      <c r="D40" s="1">
        <v>10</v>
      </c>
      <c r="E40" s="5">
        <v>180000</v>
      </c>
      <c r="F40" s="1" t="s">
        <v>29</v>
      </c>
      <c r="G40" s="6" t="s">
        <v>28</v>
      </c>
      <c r="H40" s="5">
        <f>Table1[[#This Row],[Units Sold]]*Table1[[#This Row],[Unit Price]]</f>
        <v>1800000</v>
      </c>
      <c r="I40" t="s">
        <v>13</v>
      </c>
      <c r="J40" t="str">
        <f>"Q"&amp;ROUNDUP(MONTH(Table1[[#This Row],[Date]])/3,0)</f>
        <v>Q2</v>
      </c>
      <c r="K40" t="str">
        <f>TEXT(Table1[[#This Row],[Date]],"mmmm")</f>
        <v>May</v>
      </c>
    </row>
    <row r="41" spans="1:11" x14ac:dyDescent="0.25">
      <c r="A41" s="14">
        <v>45838</v>
      </c>
      <c r="B41" s="1" t="s">
        <v>54</v>
      </c>
      <c r="C41" s="1" t="s">
        <v>40</v>
      </c>
      <c r="D41" s="1">
        <v>10</v>
      </c>
      <c r="E41" s="5">
        <v>65000</v>
      </c>
      <c r="F41" s="1" t="s">
        <v>32</v>
      </c>
      <c r="G41" s="6" t="s">
        <v>9</v>
      </c>
      <c r="H41" s="5">
        <f>Table1[[#This Row],[Units Sold]]*Table1[[#This Row],[Unit Price]]</f>
        <v>650000</v>
      </c>
      <c r="I41" t="s">
        <v>16</v>
      </c>
      <c r="J41" t="str">
        <f>"Q"&amp;ROUNDUP(MONTH(Table1[[#This Row],[Date]])/3,0)</f>
        <v>Q2</v>
      </c>
      <c r="K41" t="str">
        <f>TEXT(Table1[[#This Row],[Date]],"mmmm")</f>
        <v>June</v>
      </c>
    </row>
    <row r="42" spans="1:11" x14ac:dyDescent="0.25">
      <c r="A42" s="14">
        <v>45713</v>
      </c>
      <c r="B42" s="1" t="s">
        <v>17</v>
      </c>
      <c r="C42" s="1" t="s">
        <v>10</v>
      </c>
      <c r="D42" s="1">
        <v>3</v>
      </c>
      <c r="E42" s="5">
        <v>150000</v>
      </c>
      <c r="F42" s="1" t="s">
        <v>29</v>
      </c>
      <c r="G42" s="6" t="s">
        <v>34</v>
      </c>
      <c r="H42" s="5">
        <f>Table1[[#This Row],[Units Sold]]*Table1[[#This Row],[Unit Price]]</f>
        <v>450000</v>
      </c>
      <c r="I42" t="s">
        <v>13</v>
      </c>
      <c r="J42" t="str">
        <f>"Q"&amp;ROUNDUP(MONTH(Table1[[#This Row],[Date]])/3,0)</f>
        <v>Q1</v>
      </c>
      <c r="K42" t="str">
        <f>TEXT(Table1[[#This Row],[Date]],"mmmm")</f>
        <v>February</v>
      </c>
    </row>
    <row r="43" spans="1:11" x14ac:dyDescent="0.25">
      <c r="A43" s="14">
        <v>45670</v>
      </c>
      <c r="B43" s="1" t="s">
        <v>36</v>
      </c>
      <c r="C43" s="1" t="s">
        <v>10</v>
      </c>
      <c r="D43" s="1">
        <v>8</v>
      </c>
      <c r="E43" s="5">
        <v>180000</v>
      </c>
      <c r="F43" s="1" t="s">
        <v>14</v>
      </c>
      <c r="G43" s="6" t="s">
        <v>15</v>
      </c>
      <c r="H43" s="5">
        <f>Table1[[#This Row],[Units Sold]]*Table1[[#This Row],[Unit Price]]</f>
        <v>1440000</v>
      </c>
      <c r="I43" t="s">
        <v>8</v>
      </c>
      <c r="J43" t="str">
        <f>"Q"&amp;ROUNDUP(MONTH(Table1[[#This Row],[Date]])/3,0)</f>
        <v>Q1</v>
      </c>
      <c r="K43" t="str">
        <f>TEXT(Table1[[#This Row],[Date]],"mmmm")</f>
        <v>January</v>
      </c>
    </row>
    <row r="44" spans="1:11" x14ac:dyDescent="0.25">
      <c r="A44" s="14">
        <v>45823</v>
      </c>
      <c r="B44" s="1" t="s">
        <v>20</v>
      </c>
      <c r="C44" s="1" t="s">
        <v>21</v>
      </c>
      <c r="D44" s="1">
        <v>3</v>
      </c>
      <c r="E44" s="5">
        <v>250000</v>
      </c>
      <c r="F44" s="1" t="s">
        <v>29</v>
      </c>
      <c r="G44" s="6" t="s">
        <v>28</v>
      </c>
      <c r="H44" s="5">
        <f>Table1[[#This Row],[Units Sold]]*Table1[[#This Row],[Unit Price]]</f>
        <v>750000</v>
      </c>
      <c r="I44" t="s">
        <v>8</v>
      </c>
      <c r="J44" t="str">
        <f>"Q"&amp;ROUNDUP(MONTH(Table1[[#This Row],[Date]])/3,0)</f>
        <v>Q2</v>
      </c>
      <c r="K44" t="str">
        <f>TEXT(Table1[[#This Row],[Date]],"mmmm")</f>
        <v>June</v>
      </c>
    </row>
    <row r="45" spans="1:11" x14ac:dyDescent="0.25">
      <c r="A45" s="14">
        <v>45716</v>
      </c>
      <c r="B45" s="1" t="s">
        <v>39</v>
      </c>
      <c r="C45" s="1" t="s">
        <v>25</v>
      </c>
      <c r="D45" s="1">
        <v>18</v>
      </c>
      <c r="E45" s="5">
        <v>85000</v>
      </c>
      <c r="F45" s="1" t="s">
        <v>48</v>
      </c>
      <c r="G45" s="6" t="s">
        <v>12</v>
      </c>
      <c r="H45" s="5">
        <f>Table1[[#This Row],[Units Sold]]*Table1[[#This Row],[Unit Price]]</f>
        <v>1530000</v>
      </c>
      <c r="I45" t="s">
        <v>16</v>
      </c>
      <c r="J45" t="str">
        <f>"Q"&amp;ROUNDUP(MONTH(Table1[[#This Row],[Date]])/3,0)</f>
        <v>Q1</v>
      </c>
      <c r="K45" t="str">
        <f>TEXT(Table1[[#This Row],[Date]],"mmmm")</f>
        <v>February</v>
      </c>
    </row>
    <row r="46" spans="1:11" x14ac:dyDescent="0.25">
      <c r="A46" s="14">
        <v>45707</v>
      </c>
      <c r="B46" s="1" t="s">
        <v>17</v>
      </c>
      <c r="C46" s="1" t="s">
        <v>10</v>
      </c>
      <c r="D46" s="1">
        <v>9</v>
      </c>
      <c r="E46" s="5">
        <v>150000</v>
      </c>
      <c r="F46" s="1" t="s">
        <v>29</v>
      </c>
      <c r="G46" s="6" t="s">
        <v>43</v>
      </c>
      <c r="H46" s="5">
        <f>Table1[[#This Row],[Units Sold]]*Table1[[#This Row],[Unit Price]]</f>
        <v>1350000</v>
      </c>
      <c r="I46" t="s">
        <v>11</v>
      </c>
      <c r="J46" t="str">
        <f>"Q"&amp;ROUNDUP(MONTH(Table1[[#This Row],[Date]])/3,0)</f>
        <v>Q1</v>
      </c>
      <c r="K46" t="str">
        <f>TEXT(Table1[[#This Row],[Date]],"mmmm")</f>
        <v>February</v>
      </c>
    </row>
    <row r="47" spans="1:11" x14ac:dyDescent="0.25">
      <c r="A47" s="14">
        <v>45719</v>
      </c>
      <c r="B47" s="1" t="s">
        <v>17</v>
      </c>
      <c r="C47" s="1" t="s">
        <v>10</v>
      </c>
      <c r="D47" s="1">
        <v>18</v>
      </c>
      <c r="E47" s="5">
        <v>150000</v>
      </c>
      <c r="F47" s="1" t="s">
        <v>27</v>
      </c>
      <c r="G47" s="6" t="s">
        <v>12</v>
      </c>
      <c r="H47" s="5">
        <f>Table1[[#This Row],[Units Sold]]*Table1[[#This Row],[Unit Price]]</f>
        <v>2700000</v>
      </c>
      <c r="I47" t="s">
        <v>16</v>
      </c>
      <c r="J47" t="str">
        <f>"Q"&amp;ROUNDUP(MONTH(Table1[[#This Row],[Date]])/3,0)</f>
        <v>Q1</v>
      </c>
      <c r="K47" t="str">
        <f>TEXT(Table1[[#This Row],[Date]],"mmmm")</f>
        <v>March</v>
      </c>
    </row>
    <row r="48" spans="1:11" x14ac:dyDescent="0.25">
      <c r="A48" s="14">
        <v>45661</v>
      </c>
      <c r="B48" s="1" t="s">
        <v>17</v>
      </c>
      <c r="C48" s="1" t="s">
        <v>10</v>
      </c>
      <c r="D48" s="1">
        <v>11</v>
      </c>
      <c r="E48" s="5">
        <v>150000</v>
      </c>
      <c r="F48" s="1" t="s">
        <v>29</v>
      </c>
      <c r="G48" s="6" t="s">
        <v>28</v>
      </c>
      <c r="H48" s="5">
        <f>Table1[[#This Row],[Units Sold]]*Table1[[#This Row],[Unit Price]]</f>
        <v>1650000</v>
      </c>
      <c r="I48" t="s">
        <v>11</v>
      </c>
      <c r="J48" t="str">
        <f>"Q"&amp;ROUNDUP(MONTH(Table1[[#This Row],[Date]])/3,0)</f>
        <v>Q1</v>
      </c>
      <c r="K48" t="str">
        <f>TEXT(Table1[[#This Row],[Date]],"mmmm")</f>
        <v>January</v>
      </c>
    </row>
    <row r="49" spans="1:11" x14ac:dyDescent="0.25">
      <c r="A49" s="14">
        <v>45842</v>
      </c>
      <c r="B49" s="1" t="s">
        <v>35</v>
      </c>
      <c r="C49" s="1" t="s">
        <v>23</v>
      </c>
      <c r="D49" s="1">
        <v>4</v>
      </c>
      <c r="E49" s="5">
        <v>350000</v>
      </c>
      <c r="F49" s="1" t="s">
        <v>49</v>
      </c>
      <c r="G49" s="6" t="s">
        <v>46</v>
      </c>
      <c r="H49" s="5">
        <f>Table1[[#This Row],[Units Sold]]*Table1[[#This Row],[Unit Price]]</f>
        <v>1400000</v>
      </c>
      <c r="I49" t="s">
        <v>8</v>
      </c>
      <c r="J49" t="str">
        <f>"Q"&amp;ROUNDUP(MONTH(Table1[[#This Row],[Date]])/3,0)</f>
        <v>Q3</v>
      </c>
      <c r="K49" t="str">
        <f>TEXT(Table1[[#This Row],[Date]],"mmmm")</f>
        <v>July</v>
      </c>
    </row>
    <row r="50" spans="1:11" x14ac:dyDescent="0.25">
      <c r="A50" s="14">
        <v>45714</v>
      </c>
      <c r="B50" s="1" t="s">
        <v>17</v>
      </c>
      <c r="C50" s="1" t="s">
        <v>10</v>
      </c>
      <c r="D50" s="1">
        <v>19</v>
      </c>
      <c r="E50" s="5">
        <v>150000</v>
      </c>
      <c r="F50" s="1" t="s">
        <v>31</v>
      </c>
      <c r="G50" s="6" t="s">
        <v>43</v>
      </c>
      <c r="H50" s="5">
        <f>Table1[[#This Row],[Units Sold]]*Table1[[#This Row],[Unit Price]]</f>
        <v>2850000</v>
      </c>
      <c r="I50" t="s">
        <v>8</v>
      </c>
      <c r="J50" t="str">
        <f>"Q"&amp;ROUNDUP(MONTH(Table1[[#This Row],[Date]])/3,0)</f>
        <v>Q1</v>
      </c>
      <c r="K50" t="str">
        <f>TEXT(Table1[[#This Row],[Date]],"mmmm")</f>
        <v>February</v>
      </c>
    </row>
    <row r="51" spans="1:11" x14ac:dyDescent="0.25">
      <c r="A51" s="14">
        <v>45663</v>
      </c>
      <c r="B51" s="1" t="s">
        <v>39</v>
      </c>
      <c r="C51" s="1" t="s">
        <v>25</v>
      </c>
      <c r="D51" s="1">
        <v>7</v>
      </c>
      <c r="E51" s="5">
        <v>85000</v>
      </c>
      <c r="F51" s="1" t="s">
        <v>14</v>
      </c>
      <c r="G51" s="6" t="s">
        <v>41</v>
      </c>
      <c r="H51" s="5">
        <f>Table1[[#This Row],[Units Sold]]*Table1[[#This Row],[Unit Price]]</f>
        <v>595000</v>
      </c>
      <c r="I51" t="s">
        <v>16</v>
      </c>
      <c r="J51" t="str">
        <f>"Q"&amp;ROUNDUP(MONTH(Table1[[#This Row],[Date]])/3,0)</f>
        <v>Q1</v>
      </c>
      <c r="K51" t="str">
        <f>TEXT(Table1[[#This Row],[Date]],"mmmm")</f>
        <v>January</v>
      </c>
    </row>
    <row r="52" spans="1:11" x14ac:dyDescent="0.25">
      <c r="A52" s="14">
        <v>45671</v>
      </c>
      <c r="B52" s="1" t="s">
        <v>37</v>
      </c>
      <c r="C52" s="1" t="s">
        <v>40</v>
      </c>
      <c r="D52" s="1">
        <v>13</v>
      </c>
      <c r="E52" s="5">
        <v>57912</v>
      </c>
      <c r="F52" s="1" t="s">
        <v>27</v>
      </c>
      <c r="G52" s="6" t="s">
        <v>26</v>
      </c>
      <c r="H52" s="5">
        <f>Table1[[#This Row],[Units Sold]]*Table1[[#This Row],[Unit Price]]</f>
        <v>752856</v>
      </c>
      <c r="I52" t="s">
        <v>11</v>
      </c>
      <c r="J52" t="str">
        <f>"Q"&amp;ROUNDUP(MONTH(Table1[[#This Row],[Date]])/3,0)</f>
        <v>Q1</v>
      </c>
      <c r="K52" t="str">
        <f>TEXT(Table1[[#This Row],[Date]],"mmmm")</f>
        <v>January</v>
      </c>
    </row>
    <row r="53" spans="1:11" x14ac:dyDescent="0.25">
      <c r="A53" s="14">
        <v>45710</v>
      </c>
      <c r="B53" s="1" t="s">
        <v>37</v>
      </c>
      <c r="C53" s="1" t="s">
        <v>40</v>
      </c>
      <c r="D53" s="1">
        <v>18</v>
      </c>
      <c r="E53" s="5">
        <v>650000</v>
      </c>
      <c r="F53" s="1" t="s">
        <v>49</v>
      </c>
      <c r="G53" s="6" t="s">
        <v>46</v>
      </c>
      <c r="H53" s="5">
        <f>Table1[[#This Row],[Units Sold]]*Table1[[#This Row],[Unit Price]]</f>
        <v>11700000</v>
      </c>
      <c r="I53" t="s">
        <v>16</v>
      </c>
      <c r="J53" t="str">
        <f>"Q"&amp;ROUNDUP(MONTH(Table1[[#This Row],[Date]])/3,0)</f>
        <v>Q1</v>
      </c>
      <c r="K53" t="str">
        <f>TEXT(Table1[[#This Row],[Date]],"mmmm")</f>
        <v>February</v>
      </c>
    </row>
    <row r="54" spans="1:11" x14ac:dyDescent="0.25">
      <c r="A54" s="14">
        <v>45740</v>
      </c>
      <c r="B54" s="1" t="s">
        <v>37</v>
      </c>
      <c r="C54" s="1" t="s">
        <v>40</v>
      </c>
      <c r="D54" s="1">
        <v>5</v>
      </c>
      <c r="E54" s="5">
        <v>65000</v>
      </c>
      <c r="F54" s="1" t="s">
        <v>14</v>
      </c>
      <c r="G54" s="6" t="s">
        <v>43</v>
      </c>
      <c r="H54" s="5">
        <f>Table1[[#This Row],[Units Sold]]*Table1[[#This Row],[Unit Price]]</f>
        <v>325000</v>
      </c>
      <c r="I54" t="s">
        <v>11</v>
      </c>
      <c r="J54" t="str">
        <f>"Q"&amp;ROUNDUP(MONTH(Table1[[#This Row],[Date]])/3,0)</f>
        <v>Q1</v>
      </c>
      <c r="K54" t="str">
        <f>TEXT(Table1[[#This Row],[Date]],"mmmm")</f>
        <v>March</v>
      </c>
    </row>
    <row r="55" spans="1:11" x14ac:dyDescent="0.25">
      <c r="A55" s="14">
        <v>45684</v>
      </c>
      <c r="B55" s="1" t="s">
        <v>35</v>
      </c>
      <c r="C55" s="1" t="s">
        <v>23</v>
      </c>
      <c r="D55" s="1">
        <v>13</v>
      </c>
      <c r="E55" s="5">
        <v>350000</v>
      </c>
      <c r="F55" s="1" t="s">
        <v>19</v>
      </c>
      <c r="G55" s="6" t="s">
        <v>26</v>
      </c>
      <c r="H55" s="5">
        <f>Table1[[#This Row],[Units Sold]]*Table1[[#This Row],[Unit Price]]</f>
        <v>4550000</v>
      </c>
      <c r="I55" t="s">
        <v>8</v>
      </c>
      <c r="J55" t="str">
        <f>"Q"&amp;ROUNDUP(MONTH(Table1[[#This Row],[Date]])/3,0)</f>
        <v>Q1</v>
      </c>
      <c r="K55" t="str">
        <f>TEXT(Table1[[#This Row],[Date]],"mmmm")</f>
        <v>January</v>
      </c>
    </row>
    <row r="56" spans="1:11" x14ac:dyDescent="0.25">
      <c r="A56" s="14">
        <v>45748</v>
      </c>
      <c r="B56" s="1" t="s">
        <v>35</v>
      </c>
      <c r="C56" s="1" t="s">
        <v>23</v>
      </c>
      <c r="D56" s="1">
        <v>19</v>
      </c>
      <c r="E56" s="5">
        <v>350000</v>
      </c>
      <c r="F56" s="1" t="s">
        <v>48</v>
      </c>
      <c r="G56" s="6" t="s">
        <v>46</v>
      </c>
      <c r="H56" s="5">
        <f>Table1[[#This Row],[Units Sold]]*Table1[[#This Row],[Unit Price]]</f>
        <v>6650000</v>
      </c>
      <c r="I56" t="s">
        <v>11</v>
      </c>
      <c r="J56" t="str">
        <f>"Q"&amp;ROUNDUP(MONTH(Table1[[#This Row],[Date]])/3,0)</f>
        <v>Q2</v>
      </c>
      <c r="K56" t="str">
        <f>TEXT(Table1[[#This Row],[Date]],"mmmm")</f>
        <v>April</v>
      </c>
    </row>
    <row r="57" spans="1:11" x14ac:dyDescent="0.25">
      <c r="A57" s="14">
        <v>45724</v>
      </c>
      <c r="B57" s="1" t="s">
        <v>36</v>
      </c>
      <c r="C57" s="1" t="s">
        <v>10</v>
      </c>
      <c r="D57" s="1">
        <v>9</v>
      </c>
      <c r="E57" s="5">
        <v>180000</v>
      </c>
      <c r="F57" s="1" t="s">
        <v>14</v>
      </c>
      <c r="G57" s="6" t="s">
        <v>47</v>
      </c>
      <c r="H57" s="5">
        <f>Table1[[#This Row],[Units Sold]]*Table1[[#This Row],[Unit Price]]</f>
        <v>1620000</v>
      </c>
      <c r="I57" t="s">
        <v>13</v>
      </c>
      <c r="J57" t="str">
        <f>"Q"&amp;ROUNDUP(MONTH(Table1[[#This Row],[Date]])/3,0)</f>
        <v>Q1</v>
      </c>
      <c r="K57" t="str">
        <f>TEXT(Table1[[#This Row],[Date]],"mmmm")</f>
        <v>March</v>
      </c>
    </row>
    <row r="58" spans="1:11" x14ac:dyDescent="0.25">
      <c r="A58" s="14">
        <v>45680</v>
      </c>
      <c r="B58" s="1" t="s">
        <v>17</v>
      </c>
      <c r="C58" s="1" t="s">
        <v>10</v>
      </c>
      <c r="D58" s="1">
        <v>10</v>
      </c>
      <c r="E58" s="5">
        <v>150000</v>
      </c>
      <c r="F58" s="1" t="s">
        <v>19</v>
      </c>
      <c r="G58" s="6" t="s">
        <v>22</v>
      </c>
      <c r="H58" s="5">
        <f>Table1[[#This Row],[Units Sold]]*Table1[[#This Row],[Unit Price]]</f>
        <v>1500000</v>
      </c>
      <c r="I58" t="s">
        <v>16</v>
      </c>
      <c r="J58" t="str">
        <f>"Q"&amp;ROUNDUP(MONTH(Table1[[#This Row],[Date]])/3,0)</f>
        <v>Q1</v>
      </c>
      <c r="K58" t="str">
        <f>TEXT(Table1[[#This Row],[Date]],"mmmm")</f>
        <v>January</v>
      </c>
    </row>
    <row r="59" spans="1:11" x14ac:dyDescent="0.25">
      <c r="A59" s="14">
        <v>45673</v>
      </c>
      <c r="B59" s="1" t="s">
        <v>39</v>
      </c>
      <c r="C59" s="1" t="s">
        <v>25</v>
      </c>
      <c r="D59" s="1">
        <v>10</v>
      </c>
      <c r="E59" s="5">
        <v>85000</v>
      </c>
      <c r="F59" s="1" t="s">
        <v>14</v>
      </c>
      <c r="G59" s="6" t="s">
        <v>43</v>
      </c>
      <c r="H59" s="5">
        <f>Table1[[#This Row],[Units Sold]]*Table1[[#This Row],[Unit Price]]</f>
        <v>850000</v>
      </c>
      <c r="I59" t="s">
        <v>16</v>
      </c>
      <c r="J59" t="str">
        <f>"Q"&amp;ROUNDUP(MONTH(Table1[[#This Row],[Date]])/3,0)</f>
        <v>Q1</v>
      </c>
      <c r="K59" t="str">
        <f>TEXT(Table1[[#This Row],[Date]],"mmmm")</f>
        <v>January</v>
      </c>
    </row>
    <row r="60" spans="1:11" x14ac:dyDescent="0.25">
      <c r="A60" s="14">
        <v>45779</v>
      </c>
      <c r="B60" s="1" t="s">
        <v>20</v>
      </c>
      <c r="C60" s="1" t="s">
        <v>21</v>
      </c>
      <c r="D60" s="1">
        <v>5</v>
      </c>
      <c r="E60" s="5">
        <v>25000</v>
      </c>
      <c r="F60" s="1" t="s">
        <v>14</v>
      </c>
      <c r="G60" s="6" t="s">
        <v>42</v>
      </c>
      <c r="H60" s="5">
        <f>Table1[[#This Row],[Units Sold]]*Table1[[#This Row],[Unit Price]]</f>
        <v>125000</v>
      </c>
      <c r="I60" t="s">
        <v>8</v>
      </c>
      <c r="J60" t="str">
        <f>"Q"&amp;ROUNDUP(MONTH(Table1[[#This Row],[Date]])/3,0)</f>
        <v>Q2</v>
      </c>
      <c r="K60" t="str">
        <f>TEXT(Table1[[#This Row],[Date]],"mmmm")</f>
        <v>May</v>
      </c>
    </row>
    <row r="61" spans="1:11" x14ac:dyDescent="0.25">
      <c r="A61" s="14">
        <v>45802</v>
      </c>
      <c r="B61" s="1" t="s">
        <v>17</v>
      </c>
      <c r="C61" s="1" t="s">
        <v>10</v>
      </c>
      <c r="D61" s="1">
        <v>1</v>
      </c>
      <c r="E61" s="5">
        <v>150000</v>
      </c>
      <c r="F61" s="1" t="s">
        <v>49</v>
      </c>
      <c r="G61" s="6" t="s">
        <v>9</v>
      </c>
      <c r="H61" s="5">
        <f>Table1[[#This Row],[Units Sold]]*Table1[[#This Row],[Unit Price]]</f>
        <v>150000</v>
      </c>
      <c r="I61" t="s">
        <v>16</v>
      </c>
      <c r="J61" t="str">
        <f>"Q"&amp;ROUNDUP(MONTH(Table1[[#This Row],[Date]])/3,0)</f>
        <v>Q2</v>
      </c>
      <c r="K61" t="str">
        <f>TEXT(Table1[[#This Row],[Date]],"mmmm")</f>
        <v>May</v>
      </c>
    </row>
    <row r="62" spans="1:11" x14ac:dyDescent="0.25">
      <c r="A62" s="14">
        <v>45663</v>
      </c>
      <c r="B62" s="1" t="s">
        <v>17</v>
      </c>
      <c r="C62" s="1" t="s">
        <v>10</v>
      </c>
      <c r="D62" s="1">
        <v>20</v>
      </c>
      <c r="E62" s="5">
        <v>150000</v>
      </c>
      <c r="F62" s="1" t="s">
        <v>14</v>
      </c>
      <c r="G62" s="6" t="s">
        <v>44</v>
      </c>
      <c r="H62" s="5">
        <f>Table1[[#This Row],[Units Sold]]*Table1[[#This Row],[Unit Price]]</f>
        <v>3000000</v>
      </c>
      <c r="I62" t="s">
        <v>8</v>
      </c>
      <c r="J62" t="str">
        <f>"Q"&amp;ROUNDUP(MONTH(Table1[[#This Row],[Date]])/3,0)</f>
        <v>Q1</v>
      </c>
      <c r="K62" t="str">
        <f>TEXT(Table1[[#This Row],[Date]],"mmmm")</f>
        <v>January</v>
      </c>
    </row>
    <row r="63" spans="1:11" x14ac:dyDescent="0.25">
      <c r="A63" s="14">
        <v>45810</v>
      </c>
      <c r="B63" s="1" t="s">
        <v>35</v>
      </c>
      <c r="C63" s="1" t="s">
        <v>23</v>
      </c>
      <c r="D63" s="1">
        <v>11</v>
      </c>
      <c r="E63" s="5">
        <v>350000</v>
      </c>
      <c r="F63" s="1" t="s">
        <v>19</v>
      </c>
      <c r="G63" s="6" t="s">
        <v>45</v>
      </c>
      <c r="H63" s="5">
        <f>Table1[[#This Row],[Units Sold]]*Table1[[#This Row],[Unit Price]]</f>
        <v>3850000</v>
      </c>
      <c r="I63" t="s">
        <v>8</v>
      </c>
      <c r="J63" t="str">
        <f>"Q"&amp;ROUNDUP(MONTH(Table1[[#This Row],[Date]])/3,0)</f>
        <v>Q2</v>
      </c>
      <c r="K63" t="str">
        <f>TEXT(Table1[[#This Row],[Date]],"mmmm")</f>
        <v>June</v>
      </c>
    </row>
    <row r="64" spans="1:11" x14ac:dyDescent="0.25">
      <c r="A64" s="14">
        <v>45671</v>
      </c>
      <c r="B64" s="1" t="s">
        <v>20</v>
      </c>
      <c r="C64" s="1" t="s">
        <v>21</v>
      </c>
      <c r="D64" s="1">
        <v>14</v>
      </c>
      <c r="E64" s="5">
        <v>250000</v>
      </c>
      <c r="F64" s="1" t="s">
        <v>19</v>
      </c>
      <c r="G64" s="6" t="s">
        <v>28</v>
      </c>
      <c r="H64" s="5">
        <f>Table1[[#This Row],[Units Sold]]*Table1[[#This Row],[Unit Price]]</f>
        <v>3500000</v>
      </c>
      <c r="I64" t="s">
        <v>16</v>
      </c>
      <c r="J64" t="str">
        <f>"Q"&amp;ROUNDUP(MONTH(Table1[[#This Row],[Date]])/3,0)</f>
        <v>Q1</v>
      </c>
      <c r="K64" t="str">
        <f>TEXT(Table1[[#This Row],[Date]],"mmmm")</f>
        <v>January</v>
      </c>
    </row>
    <row r="65" spans="1:11" x14ac:dyDescent="0.25">
      <c r="A65" s="14">
        <v>45693</v>
      </c>
      <c r="B65" s="1" t="s">
        <v>17</v>
      </c>
      <c r="C65" s="1" t="s">
        <v>10</v>
      </c>
      <c r="D65" s="1">
        <v>3</v>
      </c>
      <c r="E65" s="5">
        <v>150000</v>
      </c>
      <c r="F65" s="1" t="s">
        <v>14</v>
      </c>
      <c r="G65" s="6" t="s">
        <v>41</v>
      </c>
      <c r="H65" s="5">
        <f>Table1[[#This Row],[Units Sold]]*Table1[[#This Row],[Unit Price]]</f>
        <v>450000</v>
      </c>
      <c r="I65" t="s">
        <v>11</v>
      </c>
      <c r="J65" t="str">
        <f>"Q"&amp;ROUNDUP(MONTH(Table1[[#This Row],[Date]])/3,0)</f>
        <v>Q1</v>
      </c>
      <c r="K65" t="str">
        <f>TEXT(Table1[[#This Row],[Date]],"mmmm")</f>
        <v>February</v>
      </c>
    </row>
    <row r="66" spans="1:11" x14ac:dyDescent="0.25">
      <c r="A66" s="14">
        <v>45825</v>
      </c>
      <c r="B66" s="1" t="s">
        <v>39</v>
      </c>
      <c r="C66" s="1" t="s">
        <v>25</v>
      </c>
      <c r="D66" s="1">
        <v>6</v>
      </c>
      <c r="E66" s="5">
        <v>85000</v>
      </c>
      <c r="F66" s="1" t="s">
        <v>27</v>
      </c>
      <c r="G66" s="6" t="s">
        <v>44</v>
      </c>
      <c r="H66" s="5">
        <f>Table1[[#This Row],[Units Sold]]*Table1[[#This Row],[Unit Price]]</f>
        <v>510000</v>
      </c>
      <c r="I66" t="s">
        <v>16</v>
      </c>
      <c r="J66" t="str">
        <f>"Q"&amp;ROUNDUP(MONTH(Table1[[#This Row],[Date]])/3,0)</f>
        <v>Q2</v>
      </c>
      <c r="K66" t="str">
        <f>TEXT(Table1[[#This Row],[Date]],"mmmm")</f>
        <v>June</v>
      </c>
    </row>
    <row r="67" spans="1:11" x14ac:dyDescent="0.25">
      <c r="A67" s="14">
        <v>45670</v>
      </c>
      <c r="B67" s="1" t="s">
        <v>35</v>
      </c>
      <c r="C67" s="1" t="s">
        <v>23</v>
      </c>
      <c r="D67" s="1">
        <v>15</v>
      </c>
      <c r="E67" s="5">
        <v>350000</v>
      </c>
      <c r="F67" s="1" t="s">
        <v>19</v>
      </c>
      <c r="G67" s="6" t="s">
        <v>45</v>
      </c>
      <c r="H67" s="5">
        <f>Table1[[#This Row],[Units Sold]]*Table1[[#This Row],[Unit Price]]</f>
        <v>5250000</v>
      </c>
      <c r="I67" t="s">
        <v>11</v>
      </c>
      <c r="J67" t="str">
        <f>"Q"&amp;ROUNDUP(MONTH(Table1[[#This Row],[Date]])/3,0)</f>
        <v>Q1</v>
      </c>
      <c r="K67" t="str">
        <f>TEXT(Table1[[#This Row],[Date]],"mmmm")</f>
        <v>January</v>
      </c>
    </row>
    <row r="68" spans="1:11" x14ac:dyDescent="0.25">
      <c r="A68" s="14">
        <v>45694</v>
      </c>
      <c r="B68" s="1" t="s">
        <v>17</v>
      </c>
      <c r="C68" s="1" t="s">
        <v>10</v>
      </c>
      <c r="D68" s="1">
        <v>16</v>
      </c>
      <c r="E68" s="5">
        <v>150000</v>
      </c>
      <c r="F68" s="1" t="s">
        <v>48</v>
      </c>
      <c r="G68" s="6" t="s">
        <v>28</v>
      </c>
      <c r="H68" s="5">
        <f>Table1[[#This Row],[Units Sold]]*Table1[[#This Row],[Unit Price]]</f>
        <v>2400000</v>
      </c>
      <c r="I68" t="s">
        <v>13</v>
      </c>
      <c r="J68" t="str">
        <f>"Q"&amp;ROUNDUP(MONTH(Table1[[#This Row],[Date]])/3,0)</f>
        <v>Q1</v>
      </c>
      <c r="K68" t="str">
        <f>TEXT(Table1[[#This Row],[Date]],"mmmm")</f>
        <v>February</v>
      </c>
    </row>
    <row r="69" spans="1:11" x14ac:dyDescent="0.25">
      <c r="A69" s="14">
        <v>45704</v>
      </c>
      <c r="B69" s="1" t="s">
        <v>38</v>
      </c>
      <c r="C69" s="1" t="s">
        <v>18</v>
      </c>
      <c r="D69" s="1">
        <v>8</v>
      </c>
      <c r="E69" s="5">
        <v>175000</v>
      </c>
      <c r="F69" s="1" t="s">
        <v>24</v>
      </c>
      <c r="G69" s="6" t="s">
        <v>41</v>
      </c>
      <c r="H69" s="5">
        <f>Table1[[#This Row],[Units Sold]]*Table1[[#This Row],[Unit Price]]</f>
        <v>1400000</v>
      </c>
      <c r="I69" t="s">
        <v>16</v>
      </c>
      <c r="J69" t="str">
        <f>"Q"&amp;ROUNDUP(MONTH(Table1[[#This Row],[Date]])/3,0)</f>
        <v>Q1</v>
      </c>
      <c r="K69" t="str">
        <f>TEXT(Table1[[#This Row],[Date]],"mmmm")</f>
        <v>February</v>
      </c>
    </row>
    <row r="70" spans="1:11" x14ac:dyDescent="0.25">
      <c r="A70" s="14">
        <v>45761</v>
      </c>
      <c r="B70" s="1" t="s">
        <v>39</v>
      </c>
      <c r="C70" s="1" t="s">
        <v>25</v>
      </c>
      <c r="D70" s="1">
        <v>2</v>
      </c>
      <c r="E70" s="5">
        <v>85000</v>
      </c>
      <c r="F70" s="1" t="s">
        <v>19</v>
      </c>
      <c r="G70" s="6" t="s">
        <v>43</v>
      </c>
      <c r="H70" s="5">
        <f>Table1[[#This Row],[Units Sold]]*Table1[[#This Row],[Unit Price]]</f>
        <v>170000</v>
      </c>
      <c r="I70" t="s">
        <v>8</v>
      </c>
      <c r="J70" t="str">
        <f>"Q"&amp;ROUNDUP(MONTH(Table1[[#This Row],[Date]])/3,0)</f>
        <v>Q2</v>
      </c>
      <c r="K70" t="str">
        <f>TEXT(Table1[[#This Row],[Date]],"mmmm")</f>
        <v>April</v>
      </c>
    </row>
    <row r="71" spans="1:11" x14ac:dyDescent="0.25">
      <c r="A71" s="14">
        <v>45663</v>
      </c>
      <c r="B71" s="1" t="s">
        <v>20</v>
      </c>
      <c r="C71" s="1" t="s">
        <v>21</v>
      </c>
      <c r="D71" s="1">
        <v>13</v>
      </c>
      <c r="E71" s="5">
        <v>250000</v>
      </c>
      <c r="F71" s="1" t="s">
        <v>49</v>
      </c>
      <c r="G71" s="6" t="s">
        <v>28</v>
      </c>
      <c r="H71" s="5">
        <f>Table1[[#This Row],[Units Sold]]*Table1[[#This Row],[Unit Price]]</f>
        <v>3250000</v>
      </c>
      <c r="I71" t="s">
        <v>13</v>
      </c>
      <c r="J71" t="str">
        <f>"Q"&amp;ROUNDUP(MONTH(Table1[[#This Row],[Date]])/3,0)</f>
        <v>Q1</v>
      </c>
      <c r="K71" t="str">
        <f>TEXT(Table1[[#This Row],[Date]],"mmmm")</f>
        <v>January</v>
      </c>
    </row>
    <row r="72" spans="1:11" x14ac:dyDescent="0.25">
      <c r="A72" s="14">
        <v>45962</v>
      </c>
      <c r="B72" s="1" t="s">
        <v>37</v>
      </c>
      <c r="C72" s="1" t="s">
        <v>40</v>
      </c>
      <c r="D72" s="1">
        <v>11</v>
      </c>
      <c r="E72" s="5">
        <v>65000</v>
      </c>
      <c r="F72" s="1" t="s">
        <v>19</v>
      </c>
      <c r="G72" s="6" t="s">
        <v>45</v>
      </c>
      <c r="H72" s="5">
        <f>Table1[[#This Row],[Units Sold]]*Table1[[#This Row],[Unit Price]]</f>
        <v>715000</v>
      </c>
      <c r="I72" t="s">
        <v>11</v>
      </c>
      <c r="J72" t="str">
        <f>"Q"&amp;ROUNDUP(MONTH(Table1[[#This Row],[Date]])/3,0)</f>
        <v>Q4</v>
      </c>
      <c r="K72" t="str">
        <f>TEXT(Table1[[#This Row],[Date]],"mmmm")</f>
        <v>November</v>
      </c>
    </row>
    <row r="73" spans="1:11" x14ac:dyDescent="0.25">
      <c r="A73" s="14">
        <v>45825</v>
      </c>
      <c r="B73" s="1" t="s">
        <v>35</v>
      </c>
      <c r="C73" s="1" t="s">
        <v>23</v>
      </c>
      <c r="D73" s="1">
        <v>17</v>
      </c>
      <c r="E73" s="5">
        <v>3500</v>
      </c>
      <c r="F73" s="1" t="s">
        <v>19</v>
      </c>
      <c r="G73" s="6" t="s">
        <v>15</v>
      </c>
      <c r="H73" s="5">
        <f>Table1[[#This Row],[Units Sold]]*Table1[[#This Row],[Unit Price]]</f>
        <v>59500</v>
      </c>
      <c r="I73" t="s">
        <v>8</v>
      </c>
      <c r="J73" t="str">
        <f>"Q"&amp;ROUNDUP(MONTH(Table1[[#This Row],[Date]])/3,0)</f>
        <v>Q2</v>
      </c>
      <c r="K73" t="str">
        <f>TEXT(Table1[[#This Row],[Date]],"mmmm")</f>
        <v>June</v>
      </c>
    </row>
    <row r="74" spans="1:11" x14ac:dyDescent="0.25">
      <c r="A74" s="14">
        <v>45671</v>
      </c>
      <c r="B74" s="1" t="s">
        <v>37</v>
      </c>
      <c r="C74" s="1" t="s">
        <v>40</v>
      </c>
      <c r="D74" s="1">
        <v>18</v>
      </c>
      <c r="E74" s="5">
        <v>65000</v>
      </c>
      <c r="F74" s="1" t="s">
        <v>19</v>
      </c>
      <c r="G74" s="6" t="s">
        <v>26</v>
      </c>
      <c r="H74" s="5">
        <f>Table1[[#This Row],[Units Sold]]*Table1[[#This Row],[Unit Price]]</f>
        <v>1170000</v>
      </c>
      <c r="I74" t="s">
        <v>11</v>
      </c>
      <c r="J74" t="str">
        <f>"Q"&amp;ROUNDUP(MONTH(Table1[[#This Row],[Date]])/3,0)</f>
        <v>Q1</v>
      </c>
      <c r="K74" t="str">
        <f>TEXT(Table1[[#This Row],[Date]],"mmmm")</f>
        <v>January</v>
      </c>
    </row>
    <row r="75" spans="1:11" x14ac:dyDescent="0.25">
      <c r="A75" s="14">
        <v>45806</v>
      </c>
      <c r="B75" s="1" t="s">
        <v>36</v>
      </c>
      <c r="C75" s="1" t="s">
        <v>10</v>
      </c>
      <c r="D75" s="1">
        <v>13</v>
      </c>
      <c r="E75" s="5">
        <v>180000</v>
      </c>
      <c r="F75" s="1" t="s">
        <v>49</v>
      </c>
      <c r="G75" s="6" t="s">
        <v>42</v>
      </c>
      <c r="H75" s="5">
        <f>Table1[[#This Row],[Units Sold]]*Table1[[#This Row],[Unit Price]]</f>
        <v>2340000</v>
      </c>
      <c r="I75" t="s">
        <v>16</v>
      </c>
      <c r="J75" t="str">
        <f>"Q"&amp;ROUNDUP(MONTH(Table1[[#This Row],[Date]])/3,0)</f>
        <v>Q2</v>
      </c>
      <c r="K75" t="str">
        <f>TEXT(Table1[[#This Row],[Date]],"mmmm")</f>
        <v>May</v>
      </c>
    </row>
    <row r="76" spans="1:11" x14ac:dyDescent="0.25">
      <c r="A76" s="14">
        <v>45731</v>
      </c>
      <c r="B76" s="1" t="s">
        <v>38</v>
      </c>
      <c r="C76" s="1" t="s">
        <v>18</v>
      </c>
      <c r="D76" s="1">
        <v>10</v>
      </c>
      <c r="E76" s="5">
        <v>175000</v>
      </c>
      <c r="F76" s="1" t="s">
        <v>14</v>
      </c>
      <c r="G76" s="6" t="s">
        <v>46</v>
      </c>
      <c r="H76" s="5">
        <f>Table1[[#This Row],[Units Sold]]*Table1[[#This Row],[Unit Price]]</f>
        <v>1750000</v>
      </c>
      <c r="I76" t="s">
        <v>8</v>
      </c>
      <c r="J76" t="str">
        <f>"Q"&amp;ROUNDUP(MONTH(Table1[[#This Row],[Date]])/3,0)</f>
        <v>Q1</v>
      </c>
      <c r="K76" t="str">
        <f>TEXT(Table1[[#This Row],[Date]],"mmmm")</f>
        <v>March</v>
      </c>
    </row>
    <row r="77" spans="1:11" x14ac:dyDescent="0.25">
      <c r="A77" s="14">
        <v>45742</v>
      </c>
      <c r="B77" s="1" t="s">
        <v>39</v>
      </c>
      <c r="C77" s="1" t="s">
        <v>25</v>
      </c>
      <c r="D77" s="1">
        <v>5</v>
      </c>
      <c r="E77" s="5">
        <v>85000</v>
      </c>
      <c r="F77" s="1" t="s">
        <v>49</v>
      </c>
      <c r="G77" s="6" t="s">
        <v>47</v>
      </c>
      <c r="H77" s="5">
        <f>Table1[[#This Row],[Units Sold]]*Table1[[#This Row],[Unit Price]]</f>
        <v>425000</v>
      </c>
      <c r="I77" t="s">
        <v>16</v>
      </c>
      <c r="J77" t="str">
        <f>"Q"&amp;ROUNDUP(MONTH(Table1[[#This Row],[Date]])/3,0)</f>
        <v>Q1</v>
      </c>
      <c r="K77" t="str">
        <f>TEXT(Table1[[#This Row],[Date]],"mmmm")</f>
        <v>March</v>
      </c>
    </row>
    <row r="78" spans="1:11" x14ac:dyDescent="0.25">
      <c r="A78" s="14">
        <v>45992</v>
      </c>
      <c r="B78" s="1" t="s">
        <v>35</v>
      </c>
      <c r="C78" s="1" t="s">
        <v>23</v>
      </c>
      <c r="D78" s="1">
        <v>17</v>
      </c>
      <c r="E78" s="5">
        <v>350000</v>
      </c>
      <c r="F78" s="1" t="s">
        <v>29</v>
      </c>
      <c r="G78" s="6" t="s">
        <v>44</v>
      </c>
      <c r="H78" s="5">
        <f>Table1[[#This Row],[Units Sold]]*Table1[[#This Row],[Unit Price]]</f>
        <v>5950000</v>
      </c>
      <c r="I78" t="s">
        <v>13</v>
      </c>
      <c r="J78" t="str">
        <f>"Q"&amp;ROUNDUP(MONTH(Table1[[#This Row],[Date]])/3,0)</f>
        <v>Q4</v>
      </c>
      <c r="K78" t="str">
        <f>TEXT(Table1[[#This Row],[Date]],"mmmm")</f>
        <v>December</v>
      </c>
    </row>
    <row r="79" spans="1:11" x14ac:dyDescent="0.25">
      <c r="A79" s="14">
        <v>45680</v>
      </c>
      <c r="B79" s="1" t="s">
        <v>35</v>
      </c>
      <c r="C79" s="1" t="s">
        <v>23</v>
      </c>
      <c r="D79" s="1">
        <v>13</v>
      </c>
      <c r="E79" s="5">
        <v>350000</v>
      </c>
      <c r="F79" s="1" t="s">
        <v>27</v>
      </c>
      <c r="G79" s="6" t="s">
        <v>44</v>
      </c>
      <c r="H79" s="5">
        <f>Table1[[#This Row],[Units Sold]]*Table1[[#This Row],[Unit Price]]</f>
        <v>4550000</v>
      </c>
      <c r="I79" t="s">
        <v>13</v>
      </c>
      <c r="J79" t="str">
        <f>"Q"&amp;ROUNDUP(MONTH(Table1[[#This Row],[Date]])/3,0)</f>
        <v>Q1</v>
      </c>
      <c r="K79" t="str">
        <f>TEXT(Table1[[#This Row],[Date]],"mmmm")</f>
        <v>January</v>
      </c>
    </row>
    <row r="80" spans="1:11" x14ac:dyDescent="0.25">
      <c r="A80" s="14">
        <v>45782</v>
      </c>
      <c r="B80" s="1" t="s">
        <v>35</v>
      </c>
      <c r="C80" s="1" t="s">
        <v>23</v>
      </c>
      <c r="D80" s="1">
        <v>8</v>
      </c>
      <c r="E80" s="5">
        <v>350000</v>
      </c>
      <c r="F80" s="1" t="s">
        <v>48</v>
      </c>
      <c r="G80" s="6" t="s">
        <v>22</v>
      </c>
      <c r="H80" s="5">
        <f>Table1[[#This Row],[Units Sold]]*Table1[[#This Row],[Unit Price]]</f>
        <v>2800000</v>
      </c>
      <c r="I80" t="s">
        <v>13</v>
      </c>
      <c r="J80" t="str">
        <f>"Q"&amp;ROUNDUP(MONTH(Table1[[#This Row],[Date]])/3,0)</f>
        <v>Q2</v>
      </c>
      <c r="K80" t="str">
        <f>TEXT(Table1[[#This Row],[Date]],"mmmm")</f>
        <v>May</v>
      </c>
    </row>
    <row r="81" spans="1:11" x14ac:dyDescent="0.25">
      <c r="A81" s="14">
        <v>45796</v>
      </c>
      <c r="B81" s="1" t="s">
        <v>39</v>
      </c>
      <c r="C81" s="1" t="s">
        <v>25</v>
      </c>
      <c r="D81" s="1">
        <v>13</v>
      </c>
      <c r="E81" s="5">
        <v>85000</v>
      </c>
      <c r="F81" s="1" t="s">
        <v>14</v>
      </c>
      <c r="G81" s="6" t="s">
        <v>22</v>
      </c>
      <c r="H81" s="5">
        <f>Table1[[#This Row],[Units Sold]]*Table1[[#This Row],[Unit Price]]</f>
        <v>1105000</v>
      </c>
      <c r="I81" t="s">
        <v>8</v>
      </c>
      <c r="J81" t="str">
        <f>"Q"&amp;ROUNDUP(MONTH(Table1[[#This Row],[Date]])/3,0)</f>
        <v>Q2</v>
      </c>
      <c r="K81" t="str">
        <f>TEXT(Table1[[#This Row],[Date]],"mmmm")</f>
        <v>May</v>
      </c>
    </row>
    <row r="82" spans="1:11" x14ac:dyDescent="0.25">
      <c r="A82" s="14">
        <v>45751</v>
      </c>
      <c r="B82" s="1" t="s">
        <v>17</v>
      </c>
      <c r="C82" s="1" t="s">
        <v>10</v>
      </c>
      <c r="D82" s="1">
        <v>17</v>
      </c>
      <c r="E82" s="5">
        <v>150000</v>
      </c>
      <c r="F82" s="1" t="s">
        <v>27</v>
      </c>
      <c r="G82" s="6" t="s">
        <v>9</v>
      </c>
      <c r="H82" s="5">
        <f>Table1[[#This Row],[Units Sold]]*Table1[[#This Row],[Unit Price]]</f>
        <v>2550000</v>
      </c>
      <c r="I82" t="s">
        <v>16</v>
      </c>
      <c r="J82" t="str">
        <f>"Q"&amp;ROUNDUP(MONTH(Table1[[#This Row],[Date]])/3,0)</f>
        <v>Q2</v>
      </c>
      <c r="K82" t="str">
        <f>TEXT(Table1[[#This Row],[Date]],"mmmm")</f>
        <v>April</v>
      </c>
    </row>
    <row r="83" spans="1:11" x14ac:dyDescent="0.25">
      <c r="A83" s="14">
        <v>45714</v>
      </c>
      <c r="B83" s="1" t="s">
        <v>37</v>
      </c>
      <c r="C83" s="1" t="s">
        <v>40</v>
      </c>
      <c r="D83" s="1">
        <v>19</v>
      </c>
      <c r="E83" s="5">
        <v>65000</v>
      </c>
      <c r="F83" s="1" t="s">
        <v>49</v>
      </c>
      <c r="G83" s="6" t="s">
        <v>26</v>
      </c>
      <c r="H83" s="5">
        <f>Table1[[#This Row],[Units Sold]]*Table1[[#This Row],[Unit Price]]</f>
        <v>1235000</v>
      </c>
      <c r="I83" t="s">
        <v>8</v>
      </c>
      <c r="J83" t="str">
        <f>"Q"&amp;ROUNDUP(MONTH(Table1[[#This Row],[Date]])/3,0)</f>
        <v>Q1</v>
      </c>
      <c r="K83" t="str">
        <f>TEXT(Table1[[#This Row],[Date]],"mmmm")</f>
        <v>February</v>
      </c>
    </row>
    <row r="84" spans="1:11" x14ac:dyDescent="0.25">
      <c r="A84" s="14">
        <v>45811</v>
      </c>
      <c r="B84" s="1" t="s">
        <v>17</v>
      </c>
      <c r="C84" s="1" t="s">
        <v>10</v>
      </c>
      <c r="D84" s="1">
        <v>1</v>
      </c>
      <c r="E84" s="5">
        <v>150000</v>
      </c>
      <c r="F84" s="1" t="s">
        <v>49</v>
      </c>
      <c r="G84" s="6" t="s">
        <v>47</v>
      </c>
      <c r="H84" s="5">
        <f>Table1[[#This Row],[Units Sold]]*Table1[[#This Row],[Unit Price]]</f>
        <v>150000</v>
      </c>
      <c r="I84" t="s">
        <v>13</v>
      </c>
      <c r="J84" t="str">
        <f>"Q"&amp;ROUNDUP(MONTH(Table1[[#This Row],[Date]])/3,0)</f>
        <v>Q2</v>
      </c>
      <c r="K84" t="str">
        <f>TEXT(Table1[[#This Row],[Date]],"mmmm")</f>
        <v>June</v>
      </c>
    </row>
    <row r="85" spans="1:11" x14ac:dyDescent="0.25">
      <c r="A85" s="14">
        <v>45781</v>
      </c>
      <c r="B85" s="1" t="s">
        <v>20</v>
      </c>
      <c r="C85" s="1" t="s">
        <v>21</v>
      </c>
      <c r="D85" s="1">
        <v>13</v>
      </c>
      <c r="E85" s="5">
        <v>250000</v>
      </c>
      <c r="F85" s="1" t="s">
        <v>19</v>
      </c>
      <c r="G85" s="6" t="s">
        <v>22</v>
      </c>
      <c r="H85" s="5">
        <f>Table1[[#This Row],[Units Sold]]*Table1[[#This Row],[Unit Price]]</f>
        <v>3250000</v>
      </c>
      <c r="I85" t="s">
        <v>16</v>
      </c>
      <c r="J85" t="str">
        <f>"Q"&amp;ROUNDUP(MONTH(Table1[[#This Row],[Date]])/3,0)</f>
        <v>Q2</v>
      </c>
      <c r="K85" t="str">
        <f>TEXT(Table1[[#This Row],[Date]],"mmmm")</f>
        <v>May</v>
      </c>
    </row>
    <row r="86" spans="1:11" x14ac:dyDescent="0.25">
      <c r="A86" s="14">
        <v>45687</v>
      </c>
      <c r="B86" s="1" t="s">
        <v>37</v>
      </c>
      <c r="C86" s="1" t="s">
        <v>40</v>
      </c>
      <c r="D86" s="1">
        <v>18</v>
      </c>
      <c r="E86" s="5">
        <v>65000</v>
      </c>
      <c r="F86" s="1" t="s">
        <v>19</v>
      </c>
      <c r="G86" s="6" t="s">
        <v>34</v>
      </c>
      <c r="H86" s="5">
        <f>Table1[[#This Row],[Units Sold]]*Table1[[#This Row],[Unit Price]]</f>
        <v>1170000</v>
      </c>
      <c r="I86" t="s">
        <v>16</v>
      </c>
      <c r="J86" t="str">
        <f>"Q"&amp;ROUNDUP(MONTH(Table1[[#This Row],[Date]])/3,0)</f>
        <v>Q1</v>
      </c>
      <c r="K86" t="str">
        <f>TEXT(Table1[[#This Row],[Date]],"mmmm")</f>
        <v>January</v>
      </c>
    </row>
    <row r="87" spans="1:11" x14ac:dyDescent="0.25">
      <c r="A87" s="14">
        <v>45688</v>
      </c>
      <c r="B87" s="1" t="s">
        <v>20</v>
      </c>
      <c r="C87" s="1" t="s">
        <v>21</v>
      </c>
      <c r="D87" s="1">
        <v>20</v>
      </c>
      <c r="E87" s="5">
        <v>250000</v>
      </c>
      <c r="F87" s="1" t="s">
        <v>14</v>
      </c>
      <c r="G87" s="6" t="s">
        <v>15</v>
      </c>
      <c r="H87" s="5">
        <f>Table1[[#This Row],[Units Sold]]*Table1[[#This Row],[Unit Price]]</f>
        <v>5000000</v>
      </c>
      <c r="I87" t="s">
        <v>13</v>
      </c>
      <c r="J87" t="str">
        <f>"Q"&amp;ROUNDUP(MONTH(Table1[[#This Row],[Date]])/3,0)</f>
        <v>Q1</v>
      </c>
      <c r="K87" t="str">
        <f>TEXT(Table1[[#This Row],[Date]],"mmmm")</f>
        <v>January</v>
      </c>
    </row>
    <row r="88" spans="1:11" x14ac:dyDescent="0.25">
      <c r="A88" s="14">
        <v>45804</v>
      </c>
      <c r="B88" s="1" t="s">
        <v>36</v>
      </c>
      <c r="C88" s="1" t="s">
        <v>10</v>
      </c>
      <c r="D88" s="1">
        <v>4</v>
      </c>
      <c r="E88" s="5">
        <v>180000</v>
      </c>
      <c r="F88" s="1" t="s">
        <v>14</v>
      </c>
      <c r="G88" s="6" t="s">
        <v>9</v>
      </c>
      <c r="H88" s="5">
        <f>Table1[[#This Row],[Units Sold]]*Table1[[#This Row],[Unit Price]]</f>
        <v>720000</v>
      </c>
      <c r="I88" t="s">
        <v>16</v>
      </c>
      <c r="J88" t="str">
        <f>"Q"&amp;ROUNDUP(MONTH(Table1[[#This Row],[Date]])/3,0)</f>
        <v>Q2</v>
      </c>
      <c r="K88" t="str">
        <f>TEXT(Table1[[#This Row],[Date]],"mmmm")</f>
        <v>May</v>
      </c>
    </row>
    <row r="89" spans="1:11" x14ac:dyDescent="0.25">
      <c r="A89" s="14">
        <v>45873</v>
      </c>
      <c r="B89" s="1" t="s">
        <v>17</v>
      </c>
      <c r="C89" s="1" t="s">
        <v>10</v>
      </c>
      <c r="D89" s="1">
        <v>5</v>
      </c>
      <c r="E89" s="5">
        <v>150000</v>
      </c>
      <c r="F89" s="1" t="s">
        <v>19</v>
      </c>
      <c r="G89" s="6" t="s">
        <v>12</v>
      </c>
      <c r="H89" s="5">
        <f>Table1[[#This Row],[Units Sold]]*Table1[[#This Row],[Unit Price]]</f>
        <v>750000</v>
      </c>
      <c r="I89" t="s">
        <v>8</v>
      </c>
      <c r="J89" t="str">
        <f>"Q"&amp;ROUNDUP(MONTH(Table1[[#This Row],[Date]])/3,0)</f>
        <v>Q3</v>
      </c>
      <c r="K89" t="str">
        <f>TEXT(Table1[[#This Row],[Date]],"mmmm")</f>
        <v>August</v>
      </c>
    </row>
    <row r="90" spans="1:11" x14ac:dyDescent="0.25">
      <c r="A90" s="14">
        <v>45701</v>
      </c>
      <c r="B90" s="1" t="s">
        <v>20</v>
      </c>
      <c r="C90" s="1" t="s">
        <v>21</v>
      </c>
      <c r="D90" s="1">
        <v>11</v>
      </c>
      <c r="E90" s="5">
        <v>2500000</v>
      </c>
      <c r="F90" s="1" t="s">
        <v>27</v>
      </c>
      <c r="G90" s="6" t="s">
        <v>15</v>
      </c>
      <c r="H90" s="5">
        <f>Table1[[#This Row],[Units Sold]]*Table1[[#This Row],[Unit Price]]</f>
        <v>27500000</v>
      </c>
      <c r="I90" t="s">
        <v>11</v>
      </c>
      <c r="J90" t="str">
        <f>"Q"&amp;ROUNDUP(MONTH(Table1[[#This Row],[Date]])/3,0)</f>
        <v>Q1</v>
      </c>
      <c r="K90" t="str">
        <f>TEXT(Table1[[#This Row],[Date]],"mmmm")</f>
        <v>February</v>
      </c>
    </row>
    <row r="91" spans="1:11" x14ac:dyDescent="0.25">
      <c r="A91" s="14">
        <v>45903</v>
      </c>
      <c r="B91" s="1" t="s">
        <v>20</v>
      </c>
      <c r="C91" s="1" t="s">
        <v>21</v>
      </c>
      <c r="D91" s="1">
        <v>20</v>
      </c>
      <c r="E91" s="5">
        <v>250000</v>
      </c>
      <c r="F91" s="1" t="s">
        <v>48</v>
      </c>
      <c r="G91" s="6" t="s">
        <v>26</v>
      </c>
      <c r="H91" s="5">
        <f>Table1[[#This Row],[Units Sold]]*Table1[[#This Row],[Unit Price]]</f>
        <v>5000000</v>
      </c>
      <c r="I91" t="s">
        <v>16</v>
      </c>
      <c r="J91" t="str">
        <f>"Q"&amp;ROUNDUP(MONTH(Table1[[#This Row],[Date]])/3,0)</f>
        <v>Q3</v>
      </c>
      <c r="K91" t="str">
        <f>TEXT(Table1[[#This Row],[Date]],"mmmm")</f>
        <v>September</v>
      </c>
    </row>
    <row r="92" spans="1:11" x14ac:dyDescent="0.25">
      <c r="A92" s="14">
        <v>45708</v>
      </c>
      <c r="B92" s="1" t="s">
        <v>39</v>
      </c>
      <c r="C92" s="1" t="s">
        <v>25</v>
      </c>
      <c r="D92" s="1">
        <v>7</v>
      </c>
      <c r="E92" s="5">
        <v>89233</v>
      </c>
      <c r="F92" s="1" t="s">
        <v>27</v>
      </c>
      <c r="G92" s="6" t="s">
        <v>26</v>
      </c>
      <c r="H92" s="5">
        <f>Table1[[#This Row],[Units Sold]]*Table1[[#This Row],[Unit Price]]</f>
        <v>624631</v>
      </c>
      <c r="I92" t="s">
        <v>11</v>
      </c>
      <c r="J92" t="str">
        <f>"Q"&amp;ROUNDUP(MONTH(Table1[[#This Row],[Date]])/3,0)</f>
        <v>Q1</v>
      </c>
      <c r="K92" t="str">
        <f>TEXT(Table1[[#This Row],[Date]],"mmmm")</f>
        <v>February</v>
      </c>
    </row>
    <row r="93" spans="1:11" x14ac:dyDescent="0.25">
      <c r="A93" s="14">
        <v>45707</v>
      </c>
      <c r="B93" s="1" t="s">
        <v>20</v>
      </c>
      <c r="C93" s="1" t="s">
        <v>21</v>
      </c>
      <c r="D93" s="1">
        <v>5</v>
      </c>
      <c r="E93" s="5">
        <v>250000</v>
      </c>
      <c r="F93" s="1" t="s">
        <v>29</v>
      </c>
      <c r="G93" s="6" t="s">
        <v>34</v>
      </c>
      <c r="H93" s="5">
        <f>Table1[[#This Row],[Units Sold]]*Table1[[#This Row],[Unit Price]]</f>
        <v>1250000</v>
      </c>
      <c r="I93" t="s">
        <v>16</v>
      </c>
      <c r="J93" t="str">
        <f>"Q"&amp;ROUNDUP(MONTH(Table1[[#This Row],[Date]])/3,0)</f>
        <v>Q1</v>
      </c>
      <c r="K93" t="str">
        <f>TEXT(Table1[[#This Row],[Date]],"mmmm")</f>
        <v>February</v>
      </c>
    </row>
    <row r="94" spans="1:11" x14ac:dyDescent="0.25">
      <c r="A94" s="14">
        <v>45934</v>
      </c>
      <c r="B94" s="1" t="s">
        <v>38</v>
      </c>
      <c r="C94" s="1" t="s">
        <v>18</v>
      </c>
      <c r="D94" s="1">
        <v>19</v>
      </c>
      <c r="E94" s="5">
        <v>175000</v>
      </c>
      <c r="F94" s="1" t="s">
        <v>29</v>
      </c>
      <c r="G94" s="6" t="s">
        <v>43</v>
      </c>
      <c r="H94" s="5">
        <f>Table1[[#This Row],[Units Sold]]*Table1[[#This Row],[Unit Price]]</f>
        <v>3325000</v>
      </c>
      <c r="I94" t="s">
        <v>16</v>
      </c>
      <c r="J94" t="str">
        <f>"Q"&amp;ROUNDUP(MONTH(Table1[[#This Row],[Date]])/3,0)</f>
        <v>Q4</v>
      </c>
      <c r="K94" t="str">
        <f>TEXT(Table1[[#This Row],[Date]],"mmmm")</f>
        <v>October</v>
      </c>
    </row>
    <row r="95" spans="1:11" x14ac:dyDescent="0.25">
      <c r="A95" s="14">
        <v>45798</v>
      </c>
      <c r="B95" s="1" t="s">
        <v>35</v>
      </c>
      <c r="C95" s="1" t="s">
        <v>23</v>
      </c>
      <c r="D95" s="1">
        <v>14</v>
      </c>
      <c r="E95" s="5">
        <v>350000</v>
      </c>
      <c r="F95" s="1" t="s">
        <v>49</v>
      </c>
      <c r="G95" s="6" t="s">
        <v>9</v>
      </c>
      <c r="H95" s="5">
        <f>Table1[[#This Row],[Units Sold]]*Table1[[#This Row],[Unit Price]]</f>
        <v>4900000</v>
      </c>
      <c r="I95" t="s">
        <v>16</v>
      </c>
      <c r="J95" t="str">
        <f>"Q"&amp;ROUNDUP(MONTH(Table1[[#This Row],[Date]])/3,0)</f>
        <v>Q2</v>
      </c>
      <c r="K95" t="str">
        <f>TEXT(Table1[[#This Row],[Date]],"mmmm")</f>
        <v>May</v>
      </c>
    </row>
    <row r="96" spans="1:11" x14ac:dyDescent="0.25">
      <c r="A96" s="14">
        <v>45834</v>
      </c>
      <c r="B96" s="1" t="s">
        <v>38</v>
      </c>
      <c r="C96" s="1" t="s">
        <v>18</v>
      </c>
      <c r="D96" s="1">
        <v>20</v>
      </c>
      <c r="E96" s="5">
        <v>175000</v>
      </c>
      <c r="F96" s="1" t="s">
        <v>29</v>
      </c>
      <c r="G96" s="6" t="s">
        <v>41</v>
      </c>
      <c r="H96" s="5">
        <f>Table1[[#This Row],[Units Sold]]*Table1[[#This Row],[Unit Price]]</f>
        <v>3500000</v>
      </c>
      <c r="I96" t="s">
        <v>16</v>
      </c>
      <c r="J96" t="str">
        <f>"Q"&amp;ROUNDUP(MONTH(Table1[[#This Row],[Date]])/3,0)</f>
        <v>Q2</v>
      </c>
      <c r="K96" t="str">
        <f>TEXT(Table1[[#This Row],[Date]],"mmmm")</f>
        <v>June</v>
      </c>
    </row>
    <row r="97" spans="1:11" x14ac:dyDescent="0.25">
      <c r="A97" s="14">
        <v>45708</v>
      </c>
      <c r="B97" s="1" t="s">
        <v>39</v>
      </c>
      <c r="C97" s="1" t="s">
        <v>25</v>
      </c>
      <c r="D97" s="1">
        <v>18</v>
      </c>
      <c r="E97" s="5">
        <v>85000</v>
      </c>
      <c r="F97" s="1" t="s">
        <v>24</v>
      </c>
      <c r="G97" s="6" t="s">
        <v>45</v>
      </c>
      <c r="H97" s="5">
        <f>Table1[[#This Row],[Units Sold]]*Table1[[#This Row],[Unit Price]]</f>
        <v>1530000</v>
      </c>
      <c r="I97" t="s">
        <v>8</v>
      </c>
      <c r="J97" t="str">
        <f>"Q"&amp;ROUNDUP(MONTH(Table1[[#This Row],[Date]])/3,0)</f>
        <v>Q1</v>
      </c>
      <c r="K97" t="str">
        <f>TEXT(Table1[[#This Row],[Date]],"mmmm")</f>
        <v>February</v>
      </c>
    </row>
    <row r="98" spans="1:11" x14ac:dyDescent="0.25">
      <c r="A98" s="14">
        <v>45835</v>
      </c>
      <c r="B98" s="1" t="s">
        <v>38</v>
      </c>
      <c r="C98" s="1" t="s">
        <v>18</v>
      </c>
      <c r="D98" s="1">
        <v>17</v>
      </c>
      <c r="E98" s="5">
        <v>175000</v>
      </c>
      <c r="F98" s="1" t="s">
        <v>48</v>
      </c>
      <c r="G98" s="6" t="s">
        <v>44</v>
      </c>
      <c r="H98" s="5">
        <f>Table1[[#This Row],[Units Sold]]*Table1[[#This Row],[Unit Price]]</f>
        <v>2975000</v>
      </c>
      <c r="I98" t="s">
        <v>13</v>
      </c>
      <c r="J98" t="str">
        <f>"Q"&amp;ROUNDUP(MONTH(Table1[[#This Row],[Date]])/3,0)</f>
        <v>Q2</v>
      </c>
      <c r="K98" t="str">
        <f>TEXT(Table1[[#This Row],[Date]],"mmmm")</f>
        <v>June</v>
      </c>
    </row>
    <row r="99" spans="1:11" x14ac:dyDescent="0.25">
      <c r="A99" s="14">
        <v>45693</v>
      </c>
      <c r="B99" s="1" t="s">
        <v>20</v>
      </c>
      <c r="C99" s="1" t="s">
        <v>21</v>
      </c>
      <c r="D99" s="1">
        <v>20</v>
      </c>
      <c r="E99" s="5">
        <v>250000</v>
      </c>
      <c r="F99" s="1" t="s">
        <v>27</v>
      </c>
      <c r="G99" s="6" t="s">
        <v>9</v>
      </c>
      <c r="H99" s="5">
        <f>Table1[[#This Row],[Units Sold]]*Table1[[#This Row],[Unit Price]]</f>
        <v>5000000</v>
      </c>
      <c r="I99" t="s">
        <v>8</v>
      </c>
      <c r="J99" t="str">
        <f>"Q"&amp;ROUNDUP(MONTH(Table1[[#This Row],[Date]])/3,0)</f>
        <v>Q1</v>
      </c>
      <c r="K99" t="str">
        <f>TEXT(Table1[[#This Row],[Date]],"mmmm")</f>
        <v>February</v>
      </c>
    </row>
    <row r="100" spans="1:11" x14ac:dyDescent="0.25">
      <c r="A100" s="14">
        <v>45815</v>
      </c>
      <c r="B100" s="1" t="s">
        <v>35</v>
      </c>
      <c r="C100" s="1" t="s">
        <v>23</v>
      </c>
      <c r="D100" s="1">
        <v>20</v>
      </c>
      <c r="E100" s="5">
        <v>350000</v>
      </c>
      <c r="F100" s="1" t="s">
        <v>24</v>
      </c>
      <c r="G100" s="6" t="s">
        <v>26</v>
      </c>
      <c r="H100" s="5">
        <f>Table1[[#This Row],[Units Sold]]*Table1[[#This Row],[Unit Price]]</f>
        <v>7000000</v>
      </c>
      <c r="I100" t="s">
        <v>8</v>
      </c>
      <c r="J100" t="str">
        <f>"Q"&amp;ROUNDUP(MONTH(Table1[[#This Row],[Date]])/3,0)</f>
        <v>Q2</v>
      </c>
      <c r="K100" t="str">
        <f>TEXT(Table1[[#This Row],[Date]],"mmmm")</f>
        <v>June</v>
      </c>
    </row>
    <row r="101" spans="1:11" x14ac:dyDescent="0.25">
      <c r="A101" s="14">
        <v>45790</v>
      </c>
      <c r="B101" s="11" t="s">
        <v>17</v>
      </c>
      <c r="C101" s="11" t="s">
        <v>10</v>
      </c>
      <c r="D101" s="11">
        <v>18</v>
      </c>
      <c r="E101" s="12">
        <v>150000</v>
      </c>
      <c r="F101" s="11" t="s">
        <v>49</v>
      </c>
      <c r="G101" s="13" t="s">
        <v>12</v>
      </c>
      <c r="H101" s="12">
        <f>Table1[[#This Row],[Units Sold]]*Table1[[#This Row],[Unit Price]]</f>
        <v>2700000</v>
      </c>
      <c r="I101" t="s">
        <v>11</v>
      </c>
      <c r="J101" t="str">
        <f>"Q"&amp;ROUNDUP(MONTH(Table1[[#This Row],[Date]])/3,0)</f>
        <v>Q2</v>
      </c>
      <c r="K101" t="str">
        <f>TEXT(Table1[[#This Row],[Date]],"mmmm")</f>
        <v>May</v>
      </c>
    </row>
    <row r="102" spans="1:11" x14ac:dyDescent="0.25">
      <c r="F102" s="5"/>
    </row>
    <row r="103" spans="1:11" x14ac:dyDescent="0.25">
      <c r="F103" s="5"/>
    </row>
  </sheetData>
  <phoneticPr fontId="5" type="noConversion"/>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Pivot Table</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Shola Oyegbola</dc:creator>
  <cp:keywords>Personal</cp:keywords>
  <cp:lastModifiedBy>THE ROCK MONTESSORI</cp:lastModifiedBy>
  <dcterms:created xsi:type="dcterms:W3CDTF">2025-10-20T20:05:08Z</dcterms:created>
  <dcterms:modified xsi:type="dcterms:W3CDTF">2026-01-15T16:20:48Z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2025-10-28T17:00:44Z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e850a7d0-6f71-4a59-8f31-fc421635ba4f</vt:lpwstr>
  </property>
  <property fmtid="{D5CDD505-2E9C-101B-9397-08002B2CF9AE}" pid="7" name="MSIP_Label_defa4170-0d19-0005-0004-bc88714345d2_ActionId">
    <vt:lpwstr>a905a4e3-0ba4-43da-99e7-ede8b93906d5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